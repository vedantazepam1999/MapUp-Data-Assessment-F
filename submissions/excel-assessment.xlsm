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hidePivotFieldList="1" defaultThemeVersion="166925"/>
  <mc:AlternateContent xmlns:mc="http://schemas.openxmlformats.org/markup-compatibility/2006">
    <mc:Choice Requires="x15">
      <x15ac:absPath xmlns:x15ac="http://schemas.microsoft.com/office/spreadsheetml/2010/11/ac" url="C:\Users\Vedant\Desktop\A New download\"/>
    </mc:Choice>
  </mc:AlternateContent>
  <xr:revisionPtr revIDLastSave="0" documentId="13_ncr:1_{1811EEC9-C35F-435A-84BC-835217792B7E}" xr6:coauthVersionLast="47" xr6:coauthVersionMax="47" xr10:uidLastSave="{00000000-0000-0000-0000-000000000000}"/>
  <bookViews>
    <workbookView xWindow="-110" yWindow="-110" windowWidth="19420" windowHeight="1042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81029"/>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22" i="19" a="1"/>
  <c r="C22" i="19" s="1"/>
  <c r="G12" i="19"/>
  <c r="G22" i="19" s="1"/>
  <c r="G13" i="19"/>
  <c r="G14" i="19"/>
  <c r="G15" i="19"/>
  <c r="G16" i="19"/>
  <c r="G17" i="19"/>
  <c r="G18" i="19"/>
  <c r="G19" i="19"/>
  <c r="G20" i="19"/>
  <c r="G21" i="19"/>
  <c r="C30" i="18"/>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F6"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H43"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2" i="1"/>
</calcChain>
</file>

<file path=xl/sharedStrings.xml><?xml version="1.0" encoding="utf-8"?>
<sst xmlns="http://schemas.openxmlformats.org/spreadsheetml/2006/main" count="413" uniqueCount="190">
  <si>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</si>
  <si>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</si>
  <si>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</si>
  <si>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</si>
  <si>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</si>
  <si>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</si>
  <si>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</si>
  <si>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</si>
  <si>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</si>
  <si>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</si>
  <si>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</si>
  <si>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</si>
  <si>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</si>
  <si>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</si>
  <si>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</si>
  <si>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</si>
  <si>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</si>
  <si>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</si>
  <si>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</si>
  <si>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</si>
  <si>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</si>
  <si>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</si>
  <si>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</si>
  <si>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</si>
  <si>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</si>
  <si>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</si>
  <si>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</si>
  <si>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</si>
  <si>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</si>
  <si>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</si>
  <si>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</si>
  <si>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</si>
  <si>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</si>
  <si>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</si>
  <si>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</si>
  <si>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</si>
  <si>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</si>
  <si>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</si>
  <si>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</si>
  <si>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</si>
  <si>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</si>
  <si>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</si>
  <si>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</si>
  <si>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</si>
  <si>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</si>
  <si>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</si>
  <si>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</si>
  <si>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</si>
  <si>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</si>
  <si>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</si>
  <si>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</si>
  <si>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</si>
  <si>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</si>
  <si>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</si>
  <si>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</si>
  <si>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</si>
  <si>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</si>
  <si>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</si>
  <si>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</si>
  <si>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</si>
  <si>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</si>
  <si>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</si>
  <si>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</si>
  <si>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</si>
  <si>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</si>
  <si>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</si>
  <si>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</si>
  <si>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</si>
  <si>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</si>
  <si>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</si>
  <si>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</si>
  <si>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</si>
  <si>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</si>
  <si>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</si>
  <si>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</si>
  <si>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</si>
  <si>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</si>
  <si>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</si>
  <si>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</si>
  <si>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</si>
  <si>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</si>
  <si>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</si>
  <si>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</si>
  <si>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</si>
  <si>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</si>
  <si>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</si>
  <si>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</si>
  <si>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</si>
  <si>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</si>
  <si>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</si>
  <si>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</si>
  <si>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</si>
  <si>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</si>
  <si>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</si>
  <si>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</si>
  <si>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</si>
  <si>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</si>
  <si>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</si>
  <si>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</si>
  <si>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</si>
  <si>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</si>
  <si>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</si>
  <si>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</si>
  <si>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</si>
  <si>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</si>
  <si>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</si>
  <si>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</si>
  <si>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</si>
  <si>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</si>
  <si>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</si>
  <si>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</si>
  <si>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</si>
  <si>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</si>
  <si>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</si>
  <si>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</si>
  <si>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</si>
  <si>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</si>
  <si>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</si>
  <si>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</si>
  <si>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</si>
  <si>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</si>
  <si>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</si>
  <si>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</si>
  <si>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</si>
  <si>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</si>
  <si>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</si>
  <si>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</si>
  <si>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</si>
  <si>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</si>
  <si>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</si>
  <si>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</si>
  <si>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</si>
  <si>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</si>
  <si>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</si>
  <si>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</si>
  <si>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</si>
  <si>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</si>
  <si>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</si>
  <si>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</si>
  <si>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</si>
  <si>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</si>
  <si>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</si>
  <si>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</si>
  <si>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</si>
  <si>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</si>
  <si>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</si>
  <si>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</si>
  <si>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</si>
  <si>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</si>
  <si>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</si>
  <si>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</si>
  <si>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</si>
  <si>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</si>
  <si>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</si>
  <si>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</si>
  <si>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</si>
  <si>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</si>
  <si>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</si>
  <si>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</si>
  <si>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</si>
  <si>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</si>
  <si>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</si>
  <si>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</si>
  <si>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</si>
  <si>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</si>
  <si>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</si>
  <si>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</si>
  <si>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</si>
  <si>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</si>
  <si>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</si>
  <si>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</si>
  <si>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</si>
  <si>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</si>
  <si>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</si>
  <si>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</si>
  <si>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</si>
  <si>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 of all values greater than 20</t>
  </si>
  <si>
    <t>Select conditional formatting after selecting the range, then alter the manage rules to produce results according to given criteria.</t>
  </si>
  <si>
    <r>
      <rPr>
        <b/>
        <sz val="10"/>
        <color rgb="FF000000"/>
        <rFont val="Calibri"/>
        <family val="2"/>
        <scheme val="minor"/>
      </rPr>
      <t>SUMIF(H1:H40,"&gt;20")</t>
    </r>
    <r>
      <rPr>
        <sz val="10"/>
        <color rgb="FF000000"/>
        <rFont val="Calibri"/>
        <family val="2"/>
        <scheme val="minor"/>
      </rPr>
      <t xml:space="preserve">              The obtained value '1473' can be validated by running an 'if' function in a blank column that returns only the values that are greater than 20. Then running a simple 'sum' at the end of new column can  validate the obtained result.</t>
    </r>
  </si>
  <si>
    <r>
      <t xml:space="preserve">TEXT(X1,"yyyy-mm-dd")               </t>
    </r>
    <r>
      <rPr>
        <sz val="10"/>
        <color rgb="FF000000"/>
        <rFont val="Calibri"/>
        <family val="2"/>
        <scheme val="minor"/>
      </rPr>
      <t>Then click the +sign twice to expand the formula to run all the values in date column</t>
    </r>
  </si>
  <si>
    <t xml:space="preserve"> Text to Columns from the Data tab</t>
  </si>
  <si>
    <t>Sales modified for 20</t>
  </si>
  <si>
    <t>Array formula using sum and if</t>
  </si>
  <si>
    <t>1st approach: We enter the formula below sales column. First we use sum function and inside it we use the if function. Inside if we use ISNA function to check for NA value. If it is NA then the IF function returns 20. Then sum does the rest of the job.</t>
  </si>
  <si>
    <t>2nd approach</t>
  </si>
  <si>
    <t>Modified date</t>
  </si>
  <si>
    <t>A combination of Index and Match function</t>
  </si>
  <si>
    <t xml:space="preserve">Index function takes 3 arguments i.e. (datarange,row number,column number).  Second and Third argument are obtained by the values returned by Match function. </t>
  </si>
  <si>
    <t>After selecting the first row, select freeze panes from view tab, then freeze first row.</t>
  </si>
  <si>
    <t xml:space="preserve">A quick glance at the column suggests the data is delimited by a hyphen "-". Thus Data tab can be used to quickly process the column values into multiple values.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</si>
</sst>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7"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wrapText="1"/>
    </xf>
    <xf numFmtId="0" fontId="9" fillId="0" borderId="0" xfId="0" applyFont="1"/>
    <xf numFmtId="0" fontId="14" fillId="0" borderId="0" xfId="0" applyFont="1" applyAlignment="1">
      <alignment horizontal="left" vertical="center" wrapText="1"/>
    </xf>
    <xf numFmtId="0" fontId="3" fillId="0" borderId="0" xfId="0" applyFont="1" applyAlignment="1">
      <alignment horizontal="left"/>
    </xf>
    <xf numFmtId="0" fontId="3" fillId="0" borderId="0" xfId="0" applyFont="1" applyAlignment="1">
      <alignment horizontal="left" vertical="top"/>
    </xf>
    <xf numFmtId="0" fontId="8" fillId="0" borderId="0" xfId="0" applyFont="1" applyAlignment="1">
      <alignment horizontal="left" vertical="center"/>
    </xf>
    <xf numFmtId="0" fontId="4" fillId="0" borderId="0" xfId="0" applyFont="1" applyAlignment="1">
      <alignment horizontal="center" vertical="top" wrapText="1"/>
    </xf>
    <xf numFmtId="0" fontId="11" fillId="4" borderId="0" xfId="0" applyFont="1" applyFill="1" applyAlignment="1">
      <alignment horizontal="center" vertical="top" wrapText="1"/>
    </xf>
    <xf numFmtId="0" fontId="3" fillId="0" borderId="0" xfId="0" applyFont="1" applyAlignment="1">
      <alignment horizontal="center" vertical="top" wrapText="1"/>
    </xf>
    <xf numFmtId="0" fontId="8" fillId="0" borderId="0" xfId="0" applyFont="1" applyAlignment="1">
      <alignment horizontal="center" vertical="top" wrapText="1"/>
    </xf>
    <xf numFmtId="0" fontId="6" fillId="0" borderId="0" xfId="0" applyFont="1" applyAlignment="1">
      <alignment horizontal="center" vertical="top" wrapText="1"/>
    </xf>
    <xf numFmtId="0" fontId="9" fillId="0" borderId="0" xfId="0" applyFont="1" applyAlignment="1">
      <alignment horizontal="center" vertical="top"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
    <dxf>
      <fill>
        <patternFill>
          <bgColor rgb="FFFF0000"/>
        </patternFill>
      </fill>
    </dxf>
    <dxf>
      <fill>
        <patternFill>
          <bgColor rgb="FF00B050"/>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18" sqref="A18"/>
    </sheetView>
  </sheetViews>
  <sheetFormatPr defaultColWidth="11" defaultRowHeight="13" x14ac:dyDescent="0.3"/>
  <cols>
    <col min="1" max="1" width="70.796875" style="2" bestFit="1" customWidth="1"/>
    <col min="2" max="16384" width="11" style="2"/>
  </cols>
  <sheetData>
    <row r="1" spans="1:3" ht="18.5" x14ac:dyDescent="0.45">
      <c r="A1" s="35" t="s">
        <v>107</v>
      </c>
    </row>
    <row r="2" spans="1:3" x14ac:dyDescent="0.3">
      <c r="A2" s="2" t="s">
        <v>108</v>
      </c>
    </row>
    <row r="3" spans="1:3" x14ac:dyDescent="0.3">
      <c r="A3" s="2" t="s">
        <v>109</v>
      </c>
    </row>
    <row r="4" spans="1:3" ht="14.5" x14ac:dyDescent="0.35">
      <c r="A4" s="2" t="s">
        <v>110</v>
      </c>
      <c r="C4" s="1"/>
    </row>
    <row r="5" spans="1:3" x14ac:dyDescent="0.3">
      <c r="A5" s="2" t="s">
        <v>151</v>
      </c>
    </row>
    <row r="8" spans="1:3" x14ac:dyDescent="0.3">
      <c r="A8" s="2" t="s">
        <v>172</v>
      </c>
    </row>
    <row r="9" spans="1:3" x14ac:dyDescent="0.3">
      <c r="A9" s="32" t="s">
        <v>170</v>
      </c>
      <c r="B9" s="22" t="s">
        <v>168</v>
      </c>
    </row>
    <row r="10" spans="1:3" x14ac:dyDescent="0.3">
      <c r="A10" s="31" t="s">
        <v>171</v>
      </c>
      <c r="B10" s="33">
        <v>25</v>
      </c>
    </row>
    <row r="11" spans="1:3" x14ac:dyDescent="0.3">
      <c r="A11" s="31" t="s">
        <v>54</v>
      </c>
      <c r="B11" s="33">
        <v>30</v>
      </c>
    </row>
    <row r="12" spans="1:3" x14ac:dyDescent="0.3">
      <c r="A12" s="31" t="s">
        <v>55</v>
      </c>
      <c r="B12" s="33">
        <v>10</v>
      </c>
    </row>
    <row r="13" spans="1:3" x14ac:dyDescent="0.3">
      <c r="A13" s="31" t="s">
        <v>84</v>
      </c>
      <c r="B13" s="33">
        <v>20</v>
      </c>
    </row>
    <row r="14" spans="1:3" x14ac:dyDescent="0.3">
      <c r="A14" s="31" t="s">
        <v>97</v>
      </c>
      <c r="B14" s="33">
        <v>40</v>
      </c>
    </row>
    <row r="15" spans="1:3" x14ac:dyDescent="0.3">
      <c r="A15" s="34" t="s">
        <v>169</v>
      </c>
      <c r="B15" s="21">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3"/>
  <sheetViews>
    <sheetView topLeftCell="Q1" zoomScaleNormal="100" workbookViewId="0">
      <pane ySplit="1" topLeftCell="A13" activePane="bottomLeft" state="frozen"/>
      <selection pane="bottomLeft" activeCell="Z5" sqref="Z5"/>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0" customWidth="1"/>
    <col min="5" max="5" width="9.19921875" style="1" bestFit="1" customWidth="1"/>
    <col min="6" max="6" width="10.3984375" style="20"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25" width="13.796875" style="1" customWidth="1"/>
    <col min="26" max="16384" width="9" style="1"/>
  </cols>
  <sheetData>
    <row r="1" spans="1:25" s="3" customFormat="1" ht="14.75" customHeight="1" x14ac:dyDescent="0.35">
      <c r="A1" s="24" t="s">
        <v>63</v>
      </c>
      <c r="B1" s="24" t="s">
        <v>43</v>
      </c>
      <c r="C1" s="24" t="s">
        <v>0</v>
      </c>
      <c r="D1" s="25" t="s">
        <v>1</v>
      </c>
      <c r="E1" s="24" t="s">
        <v>2</v>
      </c>
      <c r="F1" s="25" t="s">
        <v>3</v>
      </c>
      <c r="G1" s="26" t="s">
        <v>78</v>
      </c>
      <c r="H1" s="26" t="s">
        <v>64</v>
      </c>
      <c r="I1" s="26" t="s">
        <v>65</v>
      </c>
      <c r="J1" s="27" t="s">
        <v>66</v>
      </c>
      <c r="K1" s="27" t="s">
        <v>67</v>
      </c>
      <c r="L1" s="27" t="s">
        <v>68</v>
      </c>
      <c r="M1" s="26" t="s">
        <v>69</v>
      </c>
      <c r="N1" s="26" t="s">
        <v>70</v>
      </c>
      <c r="O1" s="26" t="s">
        <v>71</v>
      </c>
      <c r="P1" s="27" t="s">
        <v>72</v>
      </c>
      <c r="Q1" s="27" t="s">
        <v>73</v>
      </c>
      <c r="R1" s="27" t="s">
        <v>74</v>
      </c>
      <c r="S1" s="26" t="s">
        <v>79</v>
      </c>
      <c r="T1" s="26" t="s">
        <v>75</v>
      </c>
      <c r="U1" s="27" t="s">
        <v>80</v>
      </c>
      <c r="V1" s="27" t="s">
        <v>76</v>
      </c>
      <c r="W1" s="27" t="s">
        <v>77</v>
      </c>
      <c r="X1" s="3" t="s">
        <v>104</v>
      </c>
      <c r="Y1" s="3" t="s">
        <v>185</v>
      </c>
    </row>
    <row r="2" spans="1:25" x14ac:dyDescent="0.35">
      <c r="A2" s="1" t="s">
        <v>40</v>
      </c>
      <c r="B2" s="1">
        <v>20000</v>
      </c>
      <c r="C2" s="1" t="s">
        <v>5</v>
      </c>
      <c r="D2" s="20">
        <v>0</v>
      </c>
      <c r="E2" s="1" t="s">
        <v>6</v>
      </c>
      <c r="F2" s="20">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3">
        <v>45051</v>
      </c>
      <c r="Y2" s="1" t="str">
        <f>TEXT(X2,"yyyy-mm-dd")</f>
        <v>2023-05-05</v>
      </c>
    </row>
    <row r="3" spans="1:25" x14ac:dyDescent="0.35">
      <c r="A3" s="1" t="s">
        <v>4</v>
      </c>
      <c r="B3" s="1">
        <v>20002</v>
      </c>
      <c r="C3" s="1" t="s">
        <v>5</v>
      </c>
      <c r="D3" s="20">
        <v>0</v>
      </c>
      <c r="E3" s="1" t="s">
        <v>6</v>
      </c>
      <c r="F3" s="20">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3">
        <v>45048</v>
      </c>
      <c r="Y3" s="1" t="str">
        <f t="shared" ref="Y3:Y41" si="0">TEXT(X3,"yyyy-mm-dd")</f>
        <v>2023-05-02</v>
      </c>
    </row>
    <row r="4" spans="1:25" x14ac:dyDescent="0.35">
      <c r="A4" s="1" t="s">
        <v>7</v>
      </c>
      <c r="B4" s="1">
        <v>20004</v>
      </c>
      <c r="C4" s="1" t="s">
        <v>5</v>
      </c>
      <c r="D4" s="20">
        <v>0</v>
      </c>
      <c r="E4" s="1" t="s">
        <v>6</v>
      </c>
      <c r="F4" s="20">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3">
        <v>45055</v>
      </c>
      <c r="Y4" s="1" t="str">
        <f t="shared" si="0"/>
        <v>2023-05-09</v>
      </c>
    </row>
    <row r="5" spans="1:25" x14ac:dyDescent="0.35">
      <c r="A5" s="1" t="s">
        <v>8</v>
      </c>
      <c r="B5" s="1">
        <v>20006</v>
      </c>
      <c r="C5" s="1" t="s">
        <v>5</v>
      </c>
      <c r="D5" s="20">
        <v>0</v>
      </c>
      <c r="E5" s="1" t="s">
        <v>6</v>
      </c>
      <c r="F5" s="20">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3">
        <v>45059</v>
      </c>
      <c r="Y5" s="1" t="str">
        <f t="shared" si="0"/>
        <v>2023-05-13</v>
      </c>
    </row>
    <row r="6" spans="1:25" x14ac:dyDescent="0.35">
      <c r="A6" s="1" t="s">
        <v>9</v>
      </c>
      <c r="B6" s="1">
        <v>20008</v>
      </c>
      <c r="C6" s="1" t="s">
        <v>5</v>
      </c>
      <c r="D6" s="20">
        <v>0</v>
      </c>
      <c r="E6" s="1" t="s">
        <v>6</v>
      </c>
      <c r="F6" s="20">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3">
        <v>45076</v>
      </c>
      <c r="Y6" s="1" t="str">
        <f t="shared" si="0"/>
        <v>2023-05-30</v>
      </c>
    </row>
    <row r="7" spans="1:25" x14ac:dyDescent="0.35">
      <c r="A7" s="1" t="s">
        <v>10</v>
      </c>
      <c r="B7" s="1">
        <v>20010</v>
      </c>
      <c r="C7" s="1" t="s">
        <v>5</v>
      </c>
      <c r="D7" s="20">
        <v>0</v>
      </c>
      <c r="E7" s="1" t="s">
        <v>6</v>
      </c>
      <c r="F7" s="20">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3">
        <v>45057</v>
      </c>
      <c r="Y7" s="1" t="str">
        <f t="shared" si="0"/>
        <v>2023-05-11</v>
      </c>
    </row>
    <row r="8" spans="1:25" x14ac:dyDescent="0.35">
      <c r="A8" s="1" t="s">
        <v>11</v>
      </c>
      <c r="B8" s="1">
        <v>20012</v>
      </c>
      <c r="C8" s="1" t="s">
        <v>5</v>
      </c>
      <c r="D8" s="20">
        <v>0</v>
      </c>
      <c r="E8" s="1" t="s">
        <v>6</v>
      </c>
      <c r="F8" s="20">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3">
        <v>45052</v>
      </c>
      <c r="Y8" s="1" t="str">
        <f t="shared" si="0"/>
        <v>2023-05-06</v>
      </c>
    </row>
    <row r="9" spans="1:25" x14ac:dyDescent="0.35">
      <c r="A9" s="1" t="s">
        <v>12</v>
      </c>
      <c r="B9" s="1">
        <v>20014</v>
      </c>
      <c r="C9" s="1" t="s">
        <v>5</v>
      </c>
      <c r="D9" s="20">
        <v>0</v>
      </c>
      <c r="E9" s="1" t="s">
        <v>6</v>
      </c>
      <c r="F9" s="20">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3">
        <v>45098</v>
      </c>
      <c r="Y9" s="1" t="str">
        <f t="shared" si="0"/>
        <v>2023-06-21</v>
      </c>
    </row>
    <row r="10" spans="1:25" x14ac:dyDescent="0.35">
      <c r="A10" s="1" t="s">
        <v>13</v>
      </c>
      <c r="B10" s="1">
        <v>20016</v>
      </c>
      <c r="C10" s="1" t="s">
        <v>5</v>
      </c>
      <c r="D10" s="20">
        <v>0</v>
      </c>
      <c r="E10" s="1" t="s">
        <v>6</v>
      </c>
      <c r="F10" s="20">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3">
        <v>45092</v>
      </c>
      <c r="Y10" s="1" t="str">
        <f t="shared" si="0"/>
        <v>2023-06-15</v>
      </c>
    </row>
    <row r="11" spans="1:25" x14ac:dyDescent="0.35">
      <c r="A11" s="1" t="s">
        <v>14</v>
      </c>
      <c r="B11" s="1">
        <v>20018</v>
      </c>
      <c r="C11" s="1" t="s">
        <v>5</v>
      </c>
      <c r="D11" s="20">
        <v>0</v>
      </c>
      <c r="E11" s="1" t="s">
        <v>6</v>
      </c>
      <c r="F11" s="20">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3">
        <v>45104</v>
      </c>
      <c r="Y11" s="1" t="str">
        <f t="shared" si="0"/>
        <v>2023-06-27</v>
      </c>
    </row>
    <row r="12" spans="1:25" x14ac:dyDescent="0.35">
      <c r="A12" s="1" t="s">
        <v>15</v>
      </c>
      <c r="B12" s="1">
        <v>20020</v>
      </c>
      <c r="C12" s="1" t="s">
        <v>5</v>
      </c>
      <c r="D12" s="20">
        <v>0</v>
      </c>
      <c r="E12" s="1" t="s">
        <v>6</v>
      </c>
      <c r="F12" s="20">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3">
        <v>45116</v>
      </c>
      <c r="Y12" s="1" t="str">
        <f t="shared" si="0"/>
        <v>2023-07-09</v>
      </c>
    </row>
    <row r="13" spans="1:25" x14ac:dyDescent="0.35">
      <c r="A13" s="1" t="s">
        <v>16</v>
      </c>
      <c r="B13" s="1">
        <v>20022</v>
      </c>
      <c r="C13" s="1" t="s">
        <v>5</v>
      </c>
      <c r="D13" s="20">
        <v>0</v>
      </c>
      <c r="E13" s="1" t="s">
        <v>6</v>
      </c>
      <c r="F13" s="20">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3">
        <v>45110</v>
      </c>
      <c r="Y13" s="1" t="str">
        <f t="shared" si="0"/>
        <v>2023-07-03</v>
      </c>
    </row>
    <row r="14" spans="1:25" x14ac:dyDescent="0.35">
      <c r="A14" s="1" t="s">
        <v>17</v>
      </c>
      <c r="B14" s="1">
        <v>20024</v>
      </c>
      <c r="C14" s="1" t="s">
        <v>5</v>
      </c>
      <c r="D14" s="20">
        <v>0</v>
      </c>
      <c r="E14" s="1" t="s">
        <v>6</v>
      </c>
      <c r="F14" s="20">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3">
        <v>45095</v>
      </c>
      <c r="Y14" s="1" t="str">
        <f t="shared" si="0"/>
        <v>2023-06-18</v>
      </c>
    </row>
    <row r="15" spans="1:25" x14ac:dyDescent="0.35">
      <c r="A15" s="1" t="s">
        <v>18</v>
      </c>
      <c r="B15" s="1">
        <v>20026</v>
      </c>
      <c r="C15" s="1" t="s">
        <v>5</v>
      </c>
      <c r="D15" s="20">
        <v>0</v>
      </c>
      <c r="E15" s="1" t="s">
        <v>6</v>
      </c>
      <c r="F15" s="20">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3">
        <v>45113</v>
      </c>
      <c r="Y15" s="1" t="str">
        <f t="shared" si="0"/>
        <v>2023-07-06</v>
      </c>
    </row>
    <row r="16" spans="1:25" x14ac:dyDescent="0.35">
      <c r="A16" s="1" t="s">
        <v>19</v>
      </c>
      <c r="B16" s="1">
        <v>20028</v>
      </c>
      <c r="C16" s="1" t="s">
        <v>5</v>
      </c>
      <c r="D16" s="20">
        <v>0</v>
      </c>
      <c r="E16" s="1" t="s">
        <v>6</v>
      </c>
      <c r="F16" s="20">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3">
        <v>45063</v>
      </c>
      <c r="Y16" s="1" t="str">
        <f t="shared" si="0"/>
        <v>2023-05-17</v>
      </c>
    </row>
    <row r="17" spans="1:25" x14ac:dyDescent="0.35">
      <c r="A17" s="1" t="s">
        <v>20</v>
      </c>
      <c r="B17" s="1">
        <v>20030</v>
      </c>
      <c r="C17" s="1" t="s">
        <v>5</v>
      </c>
      <c r="D17" s="20">
        <v>0</v>
      </c>
      <c r="E17" s="1" t="s">
        <v>6</v>
      </c>
      <c r="F17" s="20">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3">
        <v>45071</v>
      </c>
      <c r="Y17" s="1" t="str">
        <f t="shared" si="0"/>
        <v>2023-05-25</v>
      </c>
    </row>
    <row r="18" spans="1:25" x14ac:dyDescent="0.35">
      <c r="A18" s="1" t="s">
        <v>21</v>
      </c>
      <c r="B18" s="1">
        <v>20032</v>
      </c>
      <c r="C18" s="1" t="s">
        <v>5</v>
      </c>
      <c r="D18" s="20">
        <v>0</v>
      </c>
      <c r="E18" s="1" t="s">
        <v>6</v>
      </c>
      <c r="F18" s="20">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3">
        <v>45085</v>
      </c>
      <c r="Y18" s="1" t="str">
        <f t="shared" si="0"/>
        <v>2023-06-08</v>
      </c>
    </row>
    <row r="19" spans="1:25" x14ac:dyDescent="0.35">
      <c r="A19" s="1" t="s">
        <v>22</v>
      </c>
      <c r="B19" s="1">
        <v>20034</v>
      </c>
      <c r="C19" s="1" t="s">
        <v>5</v>
      </c>
      <c r="D19" s="20">
        <v>0</v>
      </c>
      <c r="E19" s="1" t="s">
        <v>6</v>
      </c>
      <c r="F19" s="20">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3">
        <v>45099</v>
      </c>
      <c r="Y19" s="1" t="str">
        <f t="shared" si="0"/>
        <v>2023-06-22</v>
      </c>
    </row>
    <row r="20" spans="1:25" x14ac:dyDescent="0.35">
      <c r="A20" s="1" t="s">
        <v>23</v>
      </c>
      <c r="B20" s="1">
        <v>20036</v>
      </c>
      <c r="C20" s="1" t="s">
        <v>5</v>
      </c>
      <c r="D20" s="20">
        <v>0</v>
      </c>
      <c r="E20" s="1" t="s">
        <v>6</v>
      </c>
      <c r="F20" s="20">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3">
        <v>45091</v>
      </c>
      <c r="Y20" s="1" t="str">
        <f t="shared" si="0"/>
        <v>2023-06-14</v>
      </c>
    </row>
    <row r="21" spans="1:25" x14ac:dyDescent="0.35">
      <c r="A21" s="1" t="s">
        <v>24</v>
      </c>
      <c r="B21" s="1">
        <v>20038</v>
      </c>
      <c r="C21" s="1" t="s">
        <v>5</v>
      </c>
      <c r="D21" s="20">
        <v>0</v>
      </c>
      <c r="E21" s="1" t="s">
        <v>6</v>
      </c>
      <c r="F21" s="20">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3">
        <v>45079</v>
      </c>
      <c r="Y21" s="1" t="str">
        <f t="shared" si="0"/>
        <v>2023-06-02</v>
      </c>
    </row>
    <row r="22" spans="1:25" x14ac:dyDescent="0.35">
      <c r="A22" s="1" t="s">
        <v>25</v>
      </c>
      <c r="B22" s="1">
        <v>20040</v>
      </c>
      <c r="C22" s="1" t="s">
        <v>5</v>
      </c>
      <c r="D22" s="20">
        <v>0</v>
      </c>
      <c r="E22" s="1" t="s">
        <v>6</v>
      </c>
      <c r="F22" s="20">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3">
        <v>45075</v>
      </c>
      <c r="Y22" s="1" t="str">
        <f t="shared" si="0"/>
        <v>2023-05-29</v>
      </c>
    </row>
    <row r="23" spans="1:25" x14ac:dyDescent="0.35">
      <c r="A23" s="1" t="s">
        <v>41</v>
      </c>
      <c r="B23" s="1">
        <v>20042</v>
      </c>
      <c r="C23" s="1" t="s">
        <v>5</v>
      </c>
      <c r="D23" s="20">
        <v>0</v>
      </c>
      <c r="E23" s="1" t="s">
        <v>6</v>
      </c>
      <c r="F23" s="20">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3">
        <v>45110</v>
      </c>
      <c r="Y23" s="1" t="str">
        <f t="shared" si="0"/>
        <v>2023-07-03</v>
      </c>
    </row>
    <row r="24" spans="1:25" x14ac:dyDescent="0.35">
      <c r="A24" s="1" t="s">
        <v>26</v>
      </c>
      <c r="B24" s="1">
        <v>20044</v>
      </c>
      <c r="C24" s="1" t="s">
        <v>5</v>
      </c>
      <c r="D24" s="20">
        <v>0</v>
      </c>
      <c r="E24" s="1" t="s">
        <v>6</v>
      </c>
      <c r="F24" s="20">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3">
        <v>45114</v>
      </c>
      <c r="Y24" s="1" t="str">
        <f t="shared" si="0"/>
        <v>2023-07-07</v>
      </c>
    </row>
    <row r="25" spans="1:25" x14ac:dyDescent="0.35">
      <c r="A25" s="1" t="s">
        <v>27</v>
      </c>
      <c r="B25" s="1">
        <v>20046</v>
      </c>
      <c r="C25" s="1" t="s">
        <v>5</v>
      </c>
      <c r="D25" s="20">
        <v>0</v>
      </c>
      <c r="E25" s="1" t="s">
        <v>6</v>
      </c>
      <c r="F25" s="20">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3">
        <v>45118</v>
      </c>
      <c r="Y25" s="1" t="str">
        <f t="shared" si="0"/>
        <v>2023-07-11</v>
      </c>
    </row>
    <row r="26" spans="1:25" x14ac:dyDescent="0.35">
      <c r="A26" s="1" t="s">
        <v>28</v>
      </c>
      <c r="B26" s="1">
        <v>20048</v>
      </c>
      <c r="C26" s="1" t="s">
        <v>5</v>
      </c>
      <c r="D26" s="20">
        <v>0</v>
      </c>
      <c r="E26" s="1" t="s">
        <v>6</v>
      </c>
      <c r="F26" s="20">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3">
        <v>45142</v>
      </c>
      <c r="Y26" s="1" t="str">
        <f t="shared" si="0"/>
        <v>2023-08-04</v>
      </c>
    </row>
    <row r="27" spans="1:25" x14ac:dyDescent="0.35">
      <c r="A27" s="1" t="s">
        <v>56</v>
      </c>
      <c r="B27" s="1">
        <v>20050</v>
      </c>
      <c r="C27" s="1" t="s">
        <v>5</v>
      </c>
      <c r="D27" s="20">
        <v>0</v>
      </c>
      <c r="E27" s="1" t="s">
        <v>6</v>
      </c>
      <c r="F27" s="20">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3">
        <v>45146</v>
      </c>
      <c r="Y27" s="1" t="str">
        <f t="shared" si="0"/>
        <v>2023-08-08</v>
      </c>
    </row>
    <row r="28" spans="1:25" x14ac:dyDescent="0.35">
      <c r="A28" s="1" t="s">
        <v>29</v>
      </c>
      <c r="B28" s="1">
        <v>20052</v>
      </c>
      <c r="C28" s="1" t="s">
        <v>5</v>
      </c>
      <c r="D28" s="20">
        <v>0</v>
      </c>
      <c r="E28" s="1" t="s">
        <v>6</v>
      </c>
      <c r="F28" s="20">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3">
        <v>45108</v>
      </c>
      <c r="Y28" s="1" t="str">
        <f t="shared" si="0"/>
        <v>2023-07-01</v>
      </c>
    </row>
    <row r="29" spans="1:25" x14ac:dyDescent="0.35">
      <c r="A29" s="1" t="s">
        <v>30</v>
      </c>
      <c r="B29" s="1">
        <v>20054</v>
      </c>
      <c r="C29" s="1" t="s">
        <v>5</v>
      </c>
      <c r="D29" s="20">
        <v>0</v>
      </c>
      <c r="E29" s="1" t="s">
        <v>6</v>
      </c>
      <c r="F29" s="20">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3">
        <v>45153</v>
      </c>
      <c r="Y29" s="1" t="str">
        <f t="shared" si="0"/>
        <v>2023-08-15</v>
      </c>
    </row>
    <row r="30" spans="1:25" x14ac:dyDescent="0.35">
      <c r="A30" s="1" t="s">
        <v>57</v>
      </c>
      <c r="B30" s="1">
        <v>20058</v>
      </c>
      <c r="C30" s="1" t="s">
        <v>5</v>
      </c>
      <c r="D30" s="20">
        <v>0</v>
      </c>
      <c r="E30" s="1" t="s">
        <v>6</v>
      </c>
      <c r="F30" s="20">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3">
        <v>45150</v>
      </c>
      <c r="Y30" s="1" t="str">
        <f t="shared" si="0"/>
        <v>2023-08-12</v>
      </c>
    </row>
    <row r="31" spans="1:25" x14ac:dyDescent="0.35">
      <c r="A31" s="1" t="s">
        <v>31</v>
      </c>
      <c r="B31" s="1">
        <v>20060</v>
      </c>
      <c r="C31" s="1" t="s">
        <v>5</v>
      </c>
      <c r="D31" s="20">
        <v>0</v>
      </c>
      <c r="E31" s="1" t="s">
        <v>6</v>
      </c>
      <c r="F31" s="20">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3">
        <v>45157</v>
      </c>
      <c r="Y31" s="1" t="str">
        <f t="shared" si="0"/>
        <v>2023-08-19</v>
      </c>
    </row>
    <row r="32" spans="1:25" x14ac:dyDescent="0.35">
      <c r="A32" s="1" t="s">
        <v>32</v>
      </c>
      <c r="B32" s="1">
        <v>21000</v>
      </c>
      <c r="C32" s="1" t="s">
        <v>5</v>
      </c>
      <c r="D32" s="20">
        <v>0</v>
      </c>
      <c r="E32" s="1" t="s">
        <v>6</v>
      </c>
      <c r="F32" s="20">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3">
        <v>45143</v>
      </c>
      <c r="Y32" s="1" t="str">
        <f t="shared" si="0"/>
        <v>2023-08-05</v>
      </c>
    </row>
    <row r="33" spans="1:25" x14ac:dyDescent="0.35">
      <c r="A33" s="1" t="s">
        <v>33</v>
      </c>
      <c r="B33" s="1">
        <v>21002</v>
      </c>
      <c r="C33" s="1" t="s">
        <v>5</v>
      </c>
      <c r="D33" s="20">
        <v>0</v>
      </c>
      <c r="E33" s="1" t="s">
        <v>6</v>
      </c>
      <c r="F33" s="20">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3">
        <v>45166</v>
      </c>
      <c r="Y33" s="1" t="str">
        <f t="shared" si="0"/>
        <v>2023-08-28</v>
      </c>
    </row>
    <row r="34" spans="1:25" x14ac:dyDescent="0.35">
      <c r="A34" s="1" t="s">
        <v>34</v>
      </c>
      <c r="B34" s="1">
        <v>21004</v>
      </c>
      <c r="C34" s="1" t="s">
        <v>5</v>
      </c>
      <c r="D34" s="20">
        <v>0</v>
      </c>
      <c r="E34" s="1" t="s">
        <v>6</v>
      </c>
      <c r="F34" s="20">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3">
        <v>45162</v>
      </c>
      <c r="Y34" s="1" t="str">
        <f t="shared" si="0"/>
        <v>2023-08-24</v>
      </c>
    </row>
    <row r="35" spans="1:25" x14ac:dyDescent="0.35">
      <c r="A35" s="1" t="s">
        <v>35</v>
      </c>
      <c r="B35" s="1">
        <v>21006</v>
      </c>
      <c r="C35" s="1" t="s">
        <v>5</v>
      </c>
      <c r="D35" s="20">
        <v>0</v>
      </c>
      <c r="E35" s="1" t="s">
        <v>6</v>
      </c>
      <c r="F35" s="20">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3">
        <v>45160</v>
      </c>
      <c r="Y35" s="1" t="str">
        <f t="shared" si="0"/>
        <v>2023-08-22</v>
      </c>
    </row>
    <row r="36" spans="1:25" x14ac:dyDescent="0.35">
      <c r="A36" s="1" t="s">
        <v>36</v>
      </c>
      <c r="B36" s="1">
        <v>21008</v>
      </c>
      <c r="C36" s="1" t="s">
        <v>5</v>
      </c>
      <c r="D36" s="20">
        <v>0</v>
      </c>
      <c r="E36" s="1" t="s">
        <v>6</v>
      </c>
      <c r="F36" s="20">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3">
        <v>45179</v>
      </c>
      <c r="Y36" s="1" t="str">
        <f t="shared" si="0"/>
        <v>2023-09-10</v>
      </c>
    </row>
    <row r="37" spans="1:25" x14ac:dyDescent="0.35">
      <c r="A37" s="1" t="s">
        <v>42</v>
      </c>
      <c r="B37" s="1">
        <v>21010</v>
      </c>
      <c r="C37" s="1" t="s">
        <v>5</v>
      </c>
      <c r="D37" s="20">
        <v>0</v>
      </c>
      <c r="E37" s="1" t="s">
        <v>6</v>
      </c>
      <c r="F37" s="20">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3">
        <v>45157</v>
      </c>
      <c r="Y37" s="1" t="str">
        <f t="shared" si="0"/>
        <v>2023-08-19</v>
      </c>
    </row>
    <row r="38" spans="1:25" x14ac:dyDescent="0.35">
      <c r="A38" s="1" t="s">
        <v>37</v>
      </c>
      <c r="B38" s="1">
        <v>21012</v>
      </c>
      <c r="C38" s="1" t="s">
        <v>5</v>
      </c>
      <c r="D38" s="20">
        <v>0</v>
      </c>
      <c r="E38" s="1" t="s">
        <v>6</v>
      </c>
      <c r="F38" s="20">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3">
        <v>45143</v>
      </c>
      <c r="Y38" s="1" t="str">
        <f t="shared" si="0"/>
        <v>2023-08-05</v>
      </c>
    </row>
    <row r="39" spans="1:25" x14ac:dyDescent="0.35">
      <c r="A39" s="1" t="s">
        <v>38</v>
      </c>
      <c r="B39" s="1">
        <v>21014</v>
      </c>
      <c r="C39" s="1" t="s">
        <v>5</v>
      </c>
      <c r="D39" s="20">
        <v>0</v>
      </c>
      <c r="E39" s="1" t="s">
        <v>6</v>
      </c>
      <c r="F39" s="20">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3">
        <v>45166</v>
      </c>
      <c r="Y39" s="1" t="str">
        <f t="shared" si="0"/>
        <v>2023-08-28</v>
      </c>
    </row>
    <row r="40" spans="1:25" x14ac:dyDescent="0.35">
      <c r="A40" s="1" t="s">
        <v>39</v>
      </c>
      <c r="B40" s="1">
        <v>21016</v>
      </c>
      <c r="C40" s="1" t="s">
        <v>5</v>
      </c>
      <c r="D40" s="20">
        <v>0</v>
      </c>
      <c r="E40" s="1" t="s">
        <v>6</v>
      </c>
      <c r="F40" s="20">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3">
        <v>45162</v>
      </c>
      <c r="Y40" s="1" t="str">
        <f t="shared" si="0"/>
        <v>2023-08-24</v>
      </c>
    </row>
    <row r="41" spans="1:25" x14ac:dyDescent="0.35">
      <c r="Y41" s="1" t="str">
        <f t="shared" si="0"/>
        <v>1900-01-00</v>
      </c>
    </row>
    <row r="43" spans="1:25" ht="58" x14ac:dyDescent="0.35">
      <c r="G43" s="41" t="s">
        <v>176</v>
      </c>
      <c r="H43" s="1">
        <f>SUMIF(H2:H40,"&gt;20")</f>
        <v>1473.0000000000002</v>
      </c>
    </row>
  </sheetData>
  <conditionalFormatting sqref="G2:W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F5" sqref="F5"/>
    </sheetView>
  </sheetViews>
  <sheetFormatPr defaultColWidth="11" defaultRowHeight="14.5" x14ac:dyDescent="0.3"/>
  <cols>
    <col min="1" max="1" width="8.3984375" style="49" bestFit="1" customWidth="1"/>
    <col min="2" max="2" width="65.796875" style="49" bestFit="1" customWidth="1"/>
    <col min="3" max="3" width="39.59765625" style="49" customWidth="1"/>
    <col min="4" max="4" width="11" style="49"/>
    <col min="5" max="5" width="14.3984375" style="49" bestFit="1" customWidth="1"/>
    <col min="6" max="16384" width="11" style="49"/>
  </cols>
  <sheetData>
    <row r="1" spans="1:5" x14ac:dyDescent="0.3">
      <c r="A1" s="48" t="s">
        <v>46</v>
      </c>
      <c r="B1" s="48" t="s">
        <v>47</v>
      </c>
      <c r="C1" s="48" t="s">
        <v>44</v>
      </c>
      <c r="E1" s="48" t="s">
        <v>175</v>
      </c>
    </row>
    <row r="2" spans="1:5" x14ac:dyDescent="0.3">
      <c r="A2" s="50"/>
      <c r="B2" s="51" t="s">
        <v>159</v>
      </c>
      <c r="C2" s="50"/>
    </row>
    <row r="3" spans="1:5" ht="39" x14ac:dyDescent="0.3">
      <c r="A3" s="47">
        <v>1</v>
      </c>
      <c r="B3" s="50" t="s">
        <v>106</v>
      </c>
      <c r="C3" s="50" t="s">
        <v>177</v>
      </c>
      <c r="E3" s="49">
        <v>5</v>
      </c>
    </row>
    <row r="4" spans="1:5" ht="26" x14ac:dyDescent="0.3">
      <c r="A4" s="47">
        <v>2</v>
      </c>
      <c r="B4" s="50" t="s">
        <v>45</v>
      </c>
      <c r="C4" s="50" t="s">
        <v>188</v>
      </c>
      <c r="E4" s="49">
        <v>5</v>
      </c>
    </row>
    <row r="5" spans="1:5" ht="91" x14ac:dyDescent="0.3">
      <c r="A5" s="47">
        <v>3</v>
      </c>
      <c r="B5" s="50" t="s">
        <v>103</v>
      </c>
      <c r="C5" s="50" t="s">
        <v>178</v>
      </c>
      <c r="E5" s="49">
        <v>10</v>
      </c>
    </row>
    <row r="6" spans="1:5" ht="39" x14ac:dyDescent="0.3">
      <c r="A6" s="47">
        <v>4</v>
      </c>
      <c r="B6" s="50" t="s">
        <v>105</v>
      </c>
      <c r="C6" s="52" t="s">
        <v>179</v>
      </c>
      <c r="E6" s="49">
        <v>5</v>
      </c>
    </row>
    <row r="7" spans="1:5" x14ac:dyDescent="0.3">
      <c r="A7" s="50"/>
      <c r="B7" s="50"/>
      <c r="C7" s="50"/>
    </row>
    <row r="13" spans="1:5" x14ac:dyDescent="0.3">
      <c r="E13" s="50"/>
    </row>
    <row r="14" spans="1:5" x14ac:dyDescent="0.3">
      <c r="E14" s="5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8" zoomScaleNormal="100" workbookViewId="0">
      <selection activeCell="E32" sqref="E32"/>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7" customFormat="1" ht="21" x14ac:dyDescent="0.5">
      <c r="A1" s="38" t="s">
        <v>54</v>
      </c>
      <c r="B1" s="37" t="s">
        <v>163</v>
      </c>
    </row>
    <row r="2" spans="1:7" s="37" customFormat="1" ht="21" x14ac:dyDescent="0.5">
      <c r="B2" s="37" t="s">
        <v>160</v>
      </c>
    </row>
    <row r="3" spans="1:7" ht="14.5" x14ac:dyDescent="0.35">
      <c r="A3" s="1"/>
      <c r="B3" s="1"/>
      <c r="C3" s="1"/>
      <c r="D3" s="1"/>
      <c r="E3" s="1"/>
      <c r="F3" s="1"/>
      <c r="G3" s="1"/>
    </row>
    <row r="4" spans="1:7" ht="23.5" x14ac:dyDescent="0.55000000000000004">
      <c r="A4" s="14" t="s">
        <v>161</v>
      </c>
      <c r="B4" s="1"/>
      <c r="C4" s="1"/>
      <c r="D4" s="1"/>
      <c r="E4" s="1"/>
      <c r="F4" s="1"/>
      <c r="G4" s="1"/>
    </row>
    <row r="5" spans="1:7" ht="14.5" x14ac:dyDescent="0.35">
      <c r="A5" s="16" t="s">
        <v>63</v>
      </c>
      <c r="B5" s="17" t="s">
        <v>78</v>
      </c>
      <c r="C5" s="18" t="s">
        <v>70</v>
      </c>
      <c r="D5" s="17" t="s">
        <v>74</v>
      </c>
      <c r="E5" s="18" t="s">
        <v>75</v>
      </c>
      <c r="F5" s="19" t="s">
        <v>76</v>
      </c>
    </row>
    <row r="6" spans="1:7" ht="14.5" x14ac:dyDescent="0.35">
      <c r="A6" s="4" t="s">
        <v>40</v>
      </c>
      <c r="B6" s="8">
        <f>VLOOKUP(A6,Dataset!A2:X40,7,FALSE)</f>
        <v>2.7</v>
      </c>
      <c r="C6" s="8">
        <f>VLOOKUP(A6,Dataset!A2:Y40,13,FALSE)</f>
        <v>5.3</v>
      </c>
      <c r="D6" s="8">
        <f>VLOOKUP(A6,Dataset!A2:Z40,18,FALSE)</f>
        <v>4.2</v>
      </c>
      <c r="E6" s="8">
        <f>VLOOKUP(A6,Dataset!A2:X40,20,FALSE)</f>
        <v>8.9</v>
      </c>
      <c r="F6" s="8">
        <f>VLOOKUP(A6,Dataset!A2:X40,22,FALSE)</f>
        <v>4.2</v>
      </c>
    </row>
    <row r="7" spans="1:7" ht="14.5" x14ac:dyDescent="0.35">
      <c r="A7" s="4" t="s">
        <v>4</v>
      </c>
      <c r="B7" s="8">
        <f>VLOOKUP(A7,Dataset!A3:X41,7,FALSE)</f>
        <v>2.7</v>
      </c>
      <c r="C7" s="8">
        <f>VLOOKUP(A7,Dataset!A3:Y41,13,FALSE)</f>
        <v>5.3</v>
      </c>
      <c r="D7" s="8">
        <f>VLOOKUP(A7,Dataset!A3:Z41,18,FALSE)</f>
        <v>4.2</v>
      </c>
      <c r="E7" s="8">
        <f>VLOOKUP(A7,Dataset!A3:X41,20,FALSE)</f>
        <v>8.9</v>
      </c>
      <c r="F7" s="8">
        <f>VLOOKUP(A7,Dataset!A3:X41,22,FALSE)</f>
        <v>4.2</v>
      </c>
    </row>
    <row r="8" spans="1:7" ht="14.5" x14ac:dyDescent="0.35">
      <c r="A8" s="4" t="s">
        <v>7</v>
      </c>
      <c r="B8" s="8">
        <f>VLOOKUP(A8,Dataset!A4:X42,7,FALSE)</f>
        <v>3.6</v>
      </c>
      <c r="C8" s="8">
        <f>VLOOKUP(A8,Dataset!A4:Y42,13,FALSE)</f>
        <v>7.6</v>
      </c>
      <c r="D8" s="8">
        <f>VLOOKUP(A8,Dataset!A4:Z42,18,FALSE)</f>
        <v>5.8</v>
      </c>
      <c r="E8" s="8">
        <f>VLOOKUP(A8,Dataset!A4:X42,20,FALSE)</f>
        <v>12.2</v>
      </c>
      <c r="F8" s="8">
        <f>VLOOKUP(A8,Dataset!A4:X42,22,FALSE)</f>
        <v>5.8</v>
      </c>
    </row>
    <row r="9" spans="1:7" ht="14.5" x14ac:dyDescent="0.35">
      <c r="A9" s="4" t="s">
        <v>8</v>
      </c>
      <c r="B9" s="8">
        <f>VLOOKUP(A9,Dataset!A5:X43,7,FALSE)</f>
        <v>4.9000000000000004</v>
      </c>
      <c r="C9" s="8">
        <f>VLOOKUP(A9,Dataset!A5:Y43,13,FALSE)</f>
        <v>10</v>
      </c>
      <c r="D9" s="8">
        <f>VLOOKUP(A9,Dataset!A5:Z43,18,FALSE)</f>
        <v>8.1</v>
      </c>
      <c r="E9" s="8">
        <f>VLOOKUP(A9,Dataset!A5:X43,20,FALSE)</f>
        <v>17</v>
      </c>
      <c r="F9" s="8">
        <f>VLOOKUP(A9,Dataset!A5:X43,22,FALSE)</f>
        <v>8.1</v>
      </c>
    </row>
    <row r="10" spans="1:7" ht="14.5" x14ac:dyDescent="0.35">
      <c r="A10" s="4" t="s">
        <v>11</v>
      </c>
      <c r="B10" s="8">
        <f>VLOOKUP(A10,Dataset!A6:X44,7,FALSE)</f>
        <v>9.4</v>
      </c>
      <c r="C10" s="8">
        <f>VLOOKUP(A10,Dataset!A6:Y44,13,FALSE)</f>
        <v>19.2</v>
      </c>
      <c r="D10" s="8">
        <f>VLOOKUP(A10,Dataset!A6:Z44,18,FALSE)</f>
        <v>16.100000000000001</v>
      </c>
      <c r="E10" s="8">
        <f>VLOOKUP(A10,Dataset!A6:X44,20,FALSE)</f>
        <v>32.799999999999997</v>
      </c>
      <c r="F10" s="8">
        <f>VLOOKUP(A10,Dataset!A6:X44,22,FALSE)</f>
        <v>16.100000000000001</v>
      </c>
    </row>
    <row r="11" spans="1:7" ht="14.5" x14ac:dyDescent="0.35">
      <c r="A11" s="4" t="s">
        <v>12</v>
      </c>
      <c r="B11" s="8">
        <f>VLOOKUP(A11,Dataset!A7:X45,7,FALSE)</f>
        <v>11.6</v>
      </c>
      <c r="C11" s="8">
        <f>VLOOKUP(A11,Dataset!A7:Y45,13,FALSE)</f>
        <v>23.6</v>
      </c>
      <c r="D11" s="8">
        <f>VLOOKUP(A11,Dataset!A7:Z45,18,FALSE)</f>
        <v>21.3</v>
      </c>
      <c r="E11" s="8">
        <f>VLOOKUP(A11,Dataset!A7:X45,20,FALSE)</f>
        <v>43</v>
      </c>
      <c r="F11" s="8">
        <f>VLOOKUP(A11,Dataset!A7:X45,22,FALSE)</f>
        <v>21.3</v>
      </c>
    </row>
    <row r="12" spans="1:7" ht="14.5" x14ac:dyDescent="0.35">
      <c r="A12" s="4" t="s">
        <v>14</v>
      </c>
      <c r="B12" s="8">
        <f>VLOOKUP(A12,Dataset!A8:X46,7,FALSE)</f>
        <v>18.399999999999999</v>
      </c>
      <c r="C12" s="8">
        <f>VLOOKUP(A12,Dataset!A8:Y46,13,FALSE)</f>
        <v>37.200000000000003</v>
      </c>
      <c r="D12" s="8">
        <f>VLOOKUP(A12,Dataset!A8:Z46,18,FALSE)</f>
        <v>33.799999999999997</v>
      </c>
      <c r="E12" s="8">
        <f>VLOOKUP(A12,Dataset!A8:X46,20,FALSE)</f>
        <v>67.900000000000006</v>
      </c>
      <c r="F12" s="8">
        <f>VLOOKUP(A12,Dataset!A8:X46,22,FALSE)</f>
        <v>33.799999999999997</v>
      </c>
    </row>
    <row r="13" spans="1:7" ht="14.5" x14ac:dyDescent="0.35">
      <c r="A13" s="4" t="s">
        <v>15</v>
      </c>
      <c r="B13" s="8">
        <f>VLOOKUP(A13,Dataset!A9:X47,7,FALSE)</f>
        <v>0</v>
      </c>
      <c r="C13" s="8">
        <f>VLOOKUP(A13,Dataset!A9:Y47,13,FALSE)</f>
        <v>0</v>
      </c>
      <c r="D13" s="8">
        <f>VLOOKUP(A13,Dataset!A9:Z47,18,FALSE)</f>
        <v>0</v>
      </c>
      <c r="E13" s="8">
        <f>VLOOKUP(A13,Dataset!A9:X47,20,FALSE)</f>
        <v>0</v>
      </c>
      <c r="F13" s="8">
        <f>VLOOKUP(A13,Dataset!A9:X47,22,FALSE)</f>
        <v>0</v>
      </c>
    </row>
    <row r="14" spans="1:7" ht="14.5" x14ac:dyDescent="0.35">
      <c r="A14" s="4" t="s">
        <v>16</v>
      </c>
      <c r="B14" s="8">
        <f>VLOOKUP(A14,Dataset!A10:X48,7,FALSE)</f>
        <v>21.9</v>
      </c>
      <c r="C14" s="8">
        <f>VLOOKUP(A14,Dataset!A10:Y48,13,FALSE)</f>
        <v>42.3</v>
      </c>
      <c r="D14" s="8">
        <f>VLOOKUP(A14,Dataset!A10:Z48,18,FALSE)</f>
        <v>40.1</v>
      </c>
      <c r="E14" s="8">
        <f>VLOOKUP(A14,Dataset!A10:X48,20,FALSE)</f>
        <v>76.599999999999994</v>
      </c>
      <c r="F14" s="8">
        <f>VLOOKUP(A14,Dataset!A10:X48,22,FALSE)</f>
        <v>40.1</v>
      </c>
    </row>
    <row r="15" spans="1:7" ht="14.5" x14ac:dyDescent="0.35">
      <c r="A15" s="4" t="s">
        <v>18</v>
      </c>
      <c r="B15" s="8">
        <f>VLOOKUP(A15,Dataset!A11:X49,7,FALSE)</f>
        <v>26.8</v>
      </c>
      <c r="C15" s="8">
        <f>VLOOKUP(A15,Dataset!A11:Y49,13,FALSE)</f>
        <v>54.6</v>
      </c>
      <c r="D15" s="8">
        <f>VLOOKUP(A15,Dataset!A11:Z49,18,FALSE)</f>
        <v>47.9</v>
      </c>
      <c r="E15" s="8">
        <f>VLOOKUP(A15,Dataset!A11:X49,20,FALSE)</f>
        <v>96.8</v>
      </c>
      <c r="F15" s="8">
        <f>VLOOKUP(A15,Dataset!A11:X49,22,FALSE)</f>
        <v>47.9</v>
      </c>
    </row>
    <row r="16" spans="1:7" ht="14.5" x14ac:dyDescent="0.35">
      <c r="A16" s="4" t="s">
        <v>20</v>
      </c>
      <c r="B16" s="8">
        <f>VLOOKUP(A16,Dataset!A12:X50,7,FALSE)</f>
        <v>28.5</v>
      </c>
      <c r="C16" s="8">
        <f>VLOOKUP(A16,Dataset!A12:Y50,13,FALSE)</f>
        <v>58.3</v>
      </c>
      <c r="D16" s="8">
        <f>VLOOKUP(A16,Dataset!A12:Z50,18,FALSE)</f>
        <v>52.3</v>
      </c>
      <c r="E16" s="8">
        <f>VLOOKUP(A16,Dataset!A12:X50,20,FALSE)</f>
        <v>106.1</v>
      </c>
      <c r="F16" s="8">
        <f>VLOOKUP(A16,Dataset!A12:X50,22,FALSE)</f>
        <v>52.3</v>
      </c>
    </row>
    <row r="17" spans="1:6" ht="14.5" x14ac:dyDescent="0.35">
      <c r="A17" s="4" t="s">
        <v>22</v>
      </c>
      <c r="B17" s="8">
        <f>VLOOKUP(A17,Dataset!A13:X51,7,FALSE)</f>
        <v>30.7</v>
      </c>
      <c r="C17" s="8">
        <f>VLOOKUP(A17,Dataset!A13:Y51,13,FALSE)</f>
        <v>62.5</v>
      </c>
      <c r="D17" s="8">
        <f>VLOOKUP(A17,Dataset!A13:Z51,18,FALSE)</f>
        <v>57</v>
      </c>
      <c r="E17" s="8">
        <f>VLOOKUP(A17,Dataset!A13:X51,20,FALSE)</f>
        <v>115.1</v>
      </c>
      <c r="F17" s="8">
        <f>VLOOKUP(A17,Dataset!A13:X51,22,FALSE)</f>
        <v>57</v>
      </c>
    </row>
    <row r="18" spans="1:6" ht="14.5" x14ac:dyDescent="0.35">
      <c r="A18" s="4" t="s">
        <v>23</v>
      </c>
      <c r="B18" s="8">
        <f>VLOOKUP(A18,Dataset!A14:X52,7,FALSE)</f>
        <v>33.799999999999997</v>
      </c>
      <c r="C18" s="8">
        <f>VLOOKUP(A18,Dataset!A14:Y52,13,FALSE)</f>
        <v>67.900000000000006</v>
      </c>
      <c r="D18" s="8">
        <f>VLOOKUP(A18,Dataset!A14:Z52,18,FALSE)</f>
        <v>61.4</v>
      </c>
      <c r="E18" s="8">
        <f>VLOOKUP(A18,Dataset!A14:X52,20,FALSE)</f>
        <v>124.4</v>
      </c>
      <c r="F18" s="8">
        <f>VLOOKUP(A18,Dataset!A14:X52,22,FALSE)</f>
        <v>61.4</v>
      </c>
    </row>
    <row r="19" spans="1:6" ht="14.5" x14ac:dyDescent="0.35">
      <c r="A19" s="4" t="s">
        <v>24</v>
      </c>
      <c r="B19" s="8">
        <f>VLOOKUP(A19,Dataset!A15:X53,7,FALSE)</f>
        <v>34.700000000000003</v>
      </c>
      <c r="C19" s="8">
        <f>VLOOKUP(A19,Dataset!A15:Y53,13,FALSE)</f>
        <v>70.8</v>
      </c>
      <c r="D19" s="8">
        <f>VLOOKUP(A19,Dataset!A15:Z53,18,FALSE)</f>
        <v>63.6</v>
      </c>
      <c r="E19" s="8">
        <f>VLOOKUP(A19,Dataset!A15:X53,20,FALSE)</f>
        <v>128.6</v>
      </c>
      <c r="F19" s="8">
        <f>VLOOKUP(A19,Dataset!A15:X53,22,FALSE)</f>
        <v>63.6</v>
      </c>
    </row>
    <row r="20" spans="1:6" ht="14.5" x14ac:dyDescent="0.35">
      <c r="A20" s="4" t="s">
        <v>28</v>
      </c>
      <c r="B20" s="8">
        <f>VLOOKUP(A20,Dataset!A16:X54,7,FALSE)</f>
        <v>0</v>
      </c>
      <c r="C20" s="8">
        <f>VLOOKUP(A20,Dataset!A16:Y54,13,FALSE)</f>
        <v>0</v>
      </c>
      <c r="D20" s="8">
        <f>VLOOKUP(A20,Dataset!A16:Z54,18,FALSE)</f>
        <v>0</v>
      </c>
      <c r="E20" s="8">
        <f>VLOOKUP(A20,Dataset!A16:X54,20,FALSE)</f>
        <v>0</v>
      </c>
      <c r="F20" s="8">
        <f>VLOOKUP(A20,Dataset!A16:X54,22,FALSE)</f>
        <v>0</v>
      </c>
    </row>
    <row r="21" spans="1:6" ht="14.5" x14ac:dyDescent="0.35">
      <c r="A21" s="4" t="s">
        <v>56</v>
      </c>
      <c r="B21" s="8">
        <f>VLOOKUP(A21,Dataset!A17:X55,7,FALSE)</f>
        <v>41.3</v>
      </c>
      <c r="C21" s="8">
        <f>VLOOKUP(A21,Dataset!A17:Y55,13,FALSE)</f>
        <v>83.5</v>
      </c>
      <c r="D21" s="8">
        <f>VLOOKUP(A21,Dataset!A17:Z55,18,FALSE)</f>
        <v>75</v>
      </c>
      <c r="E21" s="8">
        <f>VLOOKUP(A21,Dataset!A17:X55,20,FALSE)</f>
        <v>151.5</v>
      </c>
      <c r="F21" s="8">
        <f>VLOOKUP(A21,Dataset!A17:X55,22,FALSE)</f>
        <v>75</v>
      </c>
    </row>
    <row r="22" spans="1:6" ht="14.5" x14ac:dyDescent="0.35">
      <c r="A22" s="4" t="s">
        <v>57</v>
      </c>
      <c r="B22" s="8">
        <f>VLOOKUP(A22,Dataset!A18:X56,7,FALSE)</f>
        <v>-1</v>
      </c>
      <c r="C22" s="8">
        <f>VLOOKUP(A22,Dataset!A18:Y56,13,FALSE)</f>
        <v>-1</v>
      </c>
      <c r="D22" s="8">
        <f>VLOOKUP(A22,Dataset!A18:Z56,18,FALSE)</f>
        <v>-1</v>
      </c>
      <c r="E22" s="8">
        <f>VLOOKUP(A22,Dataset!A18:X56,20,FALSE)</f>
        <v>-1</v>
      </c>
      <c r="F22" s="8">
        <f>VLOOKUP(A22,Dataset!A18:X56,22,FALSE)</f>
        <v>-1</v>
      </c>
    </row>
    <row r="23" spans="1:6" ht="14.5" x14ac:dyDescent="0.35">
      <c r="A23" s="4" t="s">
        <v>31</v>
      </c>
      <c r="B23" s="8">
        <f>VLOOKUP(A23,Dataset!A19:X57,7,FALSE)</f>
        <v>45</v>
      </c>
      <c r="C23" s="8">
        <f>VLOOKUP(A23,Dataset!A19:Y57,13,FALSE)</f>
        <v>90.9</v>
      </c>
      <c r="D23" s="8">
        <f>VLOOKUP(A23,Dataset!A19:Z57,18,FALSE)</f>
        <v>79.400000000000006</v>
      </c>
      <c r="E23" s="8">
        <f>VLOOKUP(A23,Dataset!A19:X57,20,FALSE)</f>
        <v>160.9</v>
      </c>
      <c r="F23" s="8">
        <f>VLOOKUP(A23,Dataset!A19:X57,22,FALSE)</f>
        <v>79.400000000000006</v>
      </c>
    </row>
    <row r="24" spans="1:6" ht="14.5" x14ac:dyDescent="0.35">
      <c r="A24" s="4" t="s">
        <v>32</v>
      </c>
      <c r="B24" s="8">
        <f>VLOOKUP(A24,Dataset!A20:X58,7,FALSE)</f>
        <v>-1</v>
      </c>
      <c r="C24" s="8">
        <f>VLOOKUP(A24,Dataset!A20:Y58,13,FALSE)</f>
        <v>-1</v>
      </c>
      <c r="D24" s="8">
        <f>VLOOKUP(A24,Dataset!A20:Z58,18,FALSE)</f>
        <v>-1</v>
      </c>
      <c r="E24" s="8">
        <f>VLOOKUP(A24,Dataset!A20:X58,20,FALSE)</f>
        <v>-1</v>
      </c>
      <c r="F24" s="8">
        <f>VLOOKUP(A24,Dataset!A20:X58,22,FALSE)</f>
        <v>-1</v>
      </c>
    </row>
    <row r="25" spans="1:6" ht="14.5" x14ac:dyDescent="0.35">
      <c r="A25" s="4" t="s">
        <v>34</v>
      </c>
      <c r="B25" s="8">
        <f>VLOOKUP(A25,Dataset!A21:X59,7,FALSE)</f>
        <v>43.3</v>
      </c>
      <c r="C25" s="8">
        <f>VLOOKUP(A25,Dataset!A21:Y59,13,FALSE)</f>
        <v>87.6</v>
      </c>
      <c r="D25" s="8">
        <f>VLOOKUP(A25,Dataset!A21:Z59,18,FALSE)</f>
        <v>79.400000000000006</v>
      </c>
      <c r="E25" s="8">
        <f>VLOOKUP(A25,Dataset!A21:X59,20,FALSE)</f>
        <v>160.9</v>
      </c>
      <c r="F25" s="8">
        <f>VLOOKUP(A25,Dataset!A21:X59,22,FALSE)</f>
        <v>79.400000000000006</v>
      </c>
    </row>
    <row r="26" spans="1:6" ht="14.5" x14ac:dyDescent="0.35">
      <c r="A26" s="4" t="s">
        <v>37</v>
      </c>
      <c r="B26" s="8">
        <f>VLOOKUP(A26,Dataset!A22:X60,7,FALSE)</f>
        <v>49.1</v>
      </c>
      <c r="C26" s="8">
        <f>VLOOKUP(A26,Dataset!A22:Y60,13,FALSE)</f>
        <v>99.5</v>
      </c>
      <c r="D26" s="8">
        <f>VLOOKUP(A26,Dataset!A22:Z60,18,FALSE)</f>
        <v>90.9</v>
      </c>
      <c r="E26" s="8">
        <f>VLOOKUP(A26,Dataset!A22:X60,20,FALSE)</f>
        <v>183.5</v>
      </c>
      <c r="F26" s="8">
        <f>VLOOKUP(A26,Dataset!A22:X60,22,FALSE)</f>
        <v>90.9</v>
      </c>
    </row>
    <row r="27" spans="1:6" ht="14.5" x14ac:dyDescent="0.35">
      <c r="A27" s="4" t="s">
        <v>39</v>
      </c>
      <c r="B27" s="8">
        <f>VLOOKUP(A27,Dataset!A23:X61,7,FALSE)</f>
        <v>51.8</v>
      </c>
      <c r="C27" s="8">
        <f>VLOOKUP(A27,Dataset!A23:Y61,13,FALSE)</f>
        <v>104.5</v>
      </c>
      <c r="D27" s="8">
        <f>VLOOKUP(A27,Dataset!A23:Z61,18,FALSE)</f>
        <v>93.1</v>
      </c>
      <c r="E27" s="8">
        <f>VLOOKUP(A27,Dataset!A23:X61,20,FALSE)</f>
        <v>188.1</v>
      </c>
      <c r="F27" s="8">
        <f>VLOOKUP(A27,Dataset!A23:X61,22,FALSE)</f>
        <v>93.1</v>
      </c>
    </row>
    <row r="28" spans="1:6" ht="14.5" x14ac:dyDescent="0.35">
      <c r="A28" s="15" t="s">
        <v>81</v>
      </c>
      <c r="B28" s="28">
        <f>MIN(B6:B27)</f>
        <v>-1</v>
      </c>
      <c r="C28" s="28">
        <f t="shared" ref="C28:F28" si="0">MIN(C6:C27)</f>
        <v>-1</v>
      </c>
      <c r="D28" s="28">
        <f t="shared" si="0"/>
        <v>-1</v>
      </c>
      <c r="E28" s="28">
        <f t="shared" si="0"/>
        <v>-1</v>
      </c>
      <c r="F28" s="28">
        <f t="shared" si="0"/>
        <v>-1</v>
      </c>
    </row>
    <row r="29" spans="1:6" ht="14.5" x14ac:dyDescent="0.35">
      <c r="A29" s="15" t="s">
        <v>82</v>
      </c>
      <c r="B29" s="28">
        <f>MAX(B7:B28)</f>
        <v>51.8</v>
      </c>
      <c r="C29" s="28">
        <f t="shared" ref="C29:F29" si="1">MAX(C7:C28)</f>
        <v>104.5</v>
      </c>
      <c r="D29" s="28">
        <f t="shared" si="1"/>
        <v>93.1</v>
      </c>
      <c r="E29" s="28">
        <f t="shared" si="1"/>
        <v>188.1</v>
      </c>
      <c r="F29" s="28">
        <f t="shared" si="1"/>
        <v>93.1</v>
      </c>
    </row>
    <row r="30" spans="1:6" ht="14.5" x14ac:dyDescent="0.35">
      <c r="A30" s="15" t="s">
        <v>83</v>
      </c>
      <c r="B30" s="28">
        <f>AVERAGE(B8:B29)</f>
        <v>22.890909090909091</v>
      </c>
      <c r="C30" s="28">
        <f t="shared" ref="C30:F30" si="2">AVERAGE(C8:C29)</f>
        <v>46.43181818181818</v>
      </c>
      <c r="D30" s="28">
        <f t="shared" si="2"/>
        <v>41.604545454545452</v>
      </c>
      <c r="E30" s="28">
        <f t="shared" si="2"/>
        <v>84.11363636363636</v>
      </c>
      <c r="F30" s="28">
        <f t="shared" si="2"/>
        <v>41.604545454545452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P54"/>
  <sheetViews>
    <sheetView topLeftCell="A10" zoomScaleNormal="100" workbookViewId="0">
      <selection activeCell="H12" sqref="H12"/>
    </sheetView>
  </sheetViews>
  <sheetFormatPr defaultColWidth="11" defaultRowHeight="14.5" x14ac:dyDescent="0.35"/>
  <cols>
    <col min="1" max="1" width="39.796875" style="1" bestFit="1" customWidth="1"/>
    <col min="2" max="16384" width="11" style="1"/>
  </cols>
  <sheetData>
    <row r="1" spans="1:16" s="37" customFormat="1" ht="21" x14ac:dyDescent="0.5">
      <c r="A1" s="38" t="s">
        <v>55</v>
      </c>
      <c r="B1" s="37" t="s">
        <v>173</v>
      </c>
    </row>
    <row r="2" spans="1:16" customFormat="1" ht="13" x14ac:dyDescent="0.3"/>
    <row r="3" spans="1:16" s="2" customFormat="1" x14ac:dyDescent="0.35">
      <c r="B3" s="1"/>
    </row>
    <row r="4" spans="1:16" s="2" customFormat="1" x14ac:dyDescent="0.35">
      <c r="B4" s="1" t="s">
        <v>150</v>
      </c>
    </row>
    <row r="5" spans="1:16" ht="18.5" x14ac:dyDescent="0.45">
      <c r="A5" s="39" t="s">
        <v>52</v>
      </c>
      <c r="B5" s="36" t="s">
        <v>180</v>
      </c>
    </row>
    <row r="6" spans="1:16" ht="18.5" customHeight="1" x14ac:dyDescent="0.45">
      <c r="A6" s="39" t="s">
        <v>152</v>
      </c>
      <c r="B6" s="43" t="s">
        <v>189</v>
      </c>
      <c r="C6" s="43"/>
      <c r="D6" s="43"/>
      <c r="E6" s="43"/>
      <c r="F6" s="43"/>
      <c r="G6" s="43"/>
      <c r="H6" s="43"/>
      <c r="I6" s="43"/>
      <c r="J6" s="43"/>
      <c r="K6" s="43"/>
      <c r="L6" s="43"/>
      <c r="M6" s="43"/>
      <c r="N6" s="43"/>
      <c r="O6" s="43"/>
      <c r="P6" s="43"/>
    </row>
    <row r="7" spans="1:16" ht="18.5" x14ac:dyDescent="0.45">
      <c r="A7" s="39"/>
      <c r="B7" s="43"/>
      <c r="C7" s="43"/>
      <c r="D7" s="43"/>
      <c r="E7" s="43"/>
      <c r="F7" s="43"/>
      <c r="G7" s="43"/>
      <c r="H7" s="43"/>
      <c r="I7" s="43"/>
      <c r="J7" s="43"/>
      <c r="K7" s="43"/>
      <c r="L7" s="43"/>
      <c r="M7" s="43"/>
      <c r="N7" s="43"/>
      <c r="O7" s="43"/>
      <c r="P7" s="43"/>
    </row>
    <row r="8" spans="1:16" x14ac:dyDescent="0.35">
      <c r="B8" s="43"/>
      <c r="C8" s="43"/>
      <c r="D8" s="43"/>
      <c r="E8" s="43"/>
      <c r="F8" s="43"/>
      <c r="G8" s="43"/>
      <c r="H8" s="43"/>
      <c r="I8" s="43"/>
      <c r="J8" s="43"/>
      <c r="K8" s="43"/>
      <c r="L8" s="43"/>
      <c r="M8" s="43"/>
      <c r="N8" s="43"/>
      <c r="O8" s="43"/>
      <c r="P8" s="43"/>
    </row>
    <row r="9" spans="1:16" ht="23.5" x14ac:dyDescent="0.55000000000000004">
      <c r="A9" s="14" t="s">
        <v>164</v>
      </c>
      <c r="I9" s="2"/>
      <c r="J9" s="2"/>
    </row>
    <row r="10" spans="1:16" x14ac:dyDescent="0.35">
      <c r="A10" s="30" t="s">
        <v>101</v>
      </c>
      <c r="B10" s="13" t="s">
        <v>48</v>
      </c>
      <c r="C10" s="13" t="s">
        <v>49</v>
      </c>
      <c r="D10" s="13" t="s">
        <v>50</v>
      </c>
      <c r="E10" s="13" t="s">
        <v>51</v>
      </c>
      <c r="F10" s="13" t="s">
        <v>53</v>
      </c>
      <c r="I10" s="2"/>
      <c r="J10" s="2"/>
    </row>
    <row r="11" spans="1:16" x14ac:dyDescent="0.35">
      <c r="A11" s="5" t="s">
        <v>120</v>
      </c>
      <c r="B11" s="9">
        <v>20000</v>
      </c>
      <c r="C11" s="9" t="s">
        <v>5</v>
      </c>
      <c r="D11" s="9">
        <v>0</v>
      </c>
      <c r="E11" s="7" t="s">
        <v>6</v>
      </c>
      <c r="F11" s="7">
        <v>24</v>
      </c>
      <c r="I11" s="2"/>
      <c r="J11" s="2"/>
    </row>
    <row r="14" spans="1:16" ht="23.5" x14ac:dyDescent="0.55000000000000004">
      <c r="A14" s="14" t="s">
        <v>161</v>
      </c>
    </row>
    <row r="15" spans="1:16" x14ac:dyDescent="0.35">
      <c r="A15" s="10" t="s">
        <v>102</v>
      </c>
      <c r="B15" s="13" t="s">
        <v>48</v>
      </c>
      <c r="C15" s="11" t="s">
        <v>49</v>
      </c>
      <c r="D15" s="13" t="s">
        <v>50</v>
      </c>
      <c r="E15" s="11" t="s">
        <v>51</v>
      </c>
      <c r="F15" s="13" t="s">
        <v>53</v>
      </c>
    </row>
    <row r="16" spans="1:16" x14ac:dyDescent="0.35">
      <c r="A16" s="4" t="s">
        <v>120</v>
      </c>
      <c r="B16" s="8">
        <v>20000</v>
      </c>
      <c r="C16" s="1" t="s">
        <v>5</v>
      </c>
      <c r="D16" s="8">
        <v>0</v>
      </c>
      <c r="E16" s="1" t="s">
        <v>6</v>
      </c>
      <c r="F16" s="8">
        <v>24</v>
      </c>
    </row>
    <row r="17" spans="1:6" x14ac:dyDescent="0.35">
      <c r="A17" s="4" t="s">
        <v>121</v>
      </c>
      <c r="B17" s="8">
        <v>20002</v>
      </c>
      <c r="C17" s="1" t="s">
        <v>5</v>
      </c>
      <c r="D17" s="8">
        <v>0</v>
      </c>
      <c r="E17" s="1" t="s">
        <v>6</v>
      </c>
      <c r="F17" s="8">
        <v>24</v>
      </c>
    </row>
    <row r="18" spans="1:6" x14ac:dyDescent="0.35">
      <c r="A18" s="4" t="s">
        <v>122</v>
      </c>
      <c r="B18" s="8">
        <v>20004</v>
      </c>
      <c r="C18" s="1" t="s">
        <v>5</v>
      </c>
      <c r="D18" s="8">
        <v>0</v>
      </c>
      <c r="E18" s="1" t="s">
        <v>6</v>
      </c>
      <c r="F18" s="8">
        <v>24</v>
      </c>
    </row>
    <row r="19" spans="1:6" x14ac:dyDescent="0.35">
      <c r="A19" s="4" t="s">
        <v>123</v>
      </c>
      <c r="B19" s="8">
        <v>20006</v>
      </c>
      <c r="C19" s="1" t="s">
        <v>5</v>
      </c>
      <c r="D19" s="8">
        <v>0</v>
      </c>
      <c r="E19" s="1" t="s">
        <v>6</v>
      </c>
      <c r="F19" s="8">
        <v>24</v>
      </c>
    </row>
    <row r="20" spans="1:6" x14ac:dyDescent="0.35">
      <c r="A20" s="4" t="s">
        <v>124</v>
      </c>
      <c r="B20" s="8">
        <v>20008</v>
      </c>
      <c r="C20" s="1" t="s">
        <v>5</v>
      </c>
      <c r="D20" s="8">
        <v>0</v>
      </c>
      <c r="E20" s="1" t="s">
        <v>6</v>
      </c>
      <c r="F20" s="8">
        <v>24</v>
      </c>
    </row>
    <row r="21" spans="1:6" x14ac:dyDescent="0.35">
      <c r="A21" s="4" t="s">
        <v>125</v>
      </c>
      <c r="B21" s="8">
        <v>20010</v>
      </c>
      <c r="C21" s="1" t="s">
        <v>5</v>
      </c>
      <c r="D21" s="8">
        <v>0</v>
      </c>
      <c r="E21" s="1" t="s">
        <v>6</v>
      </c>
      <c r="F21" s="8">
        <v>24</v>
      </c>
    </row>
    <row r="22" spans="1:6" x14ac:dyDescent="0.35">
      <c r="A22" s="4" t="s">
        <v>126</v>
      </c>
      <c r="B22" s="8">
        <v>20012</v>
      </c>
      <c r="C22" s="1" t="s">
        <v>5</v>
      </c>
      <c r="D22" s="8">
        <v>0</v>
      </c>
      <c r="E22" s="1" t="s">
        <v>6</v>
      </c>
      <c r="F22" s="8">
        <v>24</v>
      </c>
    </row>
    <row r="23" spans="1:6" x14ac:dyDescent="0.35">
      <c r="A23" s="4" t="s">
        <v>127</v>
      </c>
      <c r="B23" s="8">
        <v>20014</v>
      </c>
      <c r="C23" s="1" t="s">
        <v>5</v>
      </c>
      <c r="D23" s="8">
        <v>0</v>
      </c>
      <c r="E23" s="1" t="s">
        <v>6</v>
      </c>
      <c r="F23" s="8">
        <v>24</v>
      </c>
    </row>
    <row r="24" spans="1:6" x14ac:dyDescent="0.35">
      <c r="A24" s="4" t="s">
        <v>128</v>
      </c>
      <c r="B24" s="8">
        <v>20016</v>
      </c>
      <c r="C24" s="1" t="s">
        <v>5</v>
      </c>
      <c r="D24" s="8">
        <v>0</v>
      </c>
      <c r="E24" s="1" t="s">
        <v>6</v>
      </c>
      <c r="F24" s="8">
        <v>24</v>
      </c>
    </row>
    <row r="25" spans="1:6" x14ac:dyDescent="0.35">
      <c r="A25" s="4" t="s">
        <v>129</v>
      </c>
      <c r="B25" s="8">
        <v>20018</v>
      </c>
      <c r="C25" s="1" t="s">
        <v>5</v>
      </c>
      <c r="D25" s="8">
        <v>0</v>
      </c>
      <c r="E25" s="1" t="s">
        <v>6</v>
      </c>
      <c r="F25" s="8">
        <v>24</v>
      </c>
    </row>
    <row r="26" spans="1:6" x14ac:dyDescent="0.35">
      <c r="A26" s="4" t="s">
        <v>130</v>
      </c>
      <c r="B26" s="8">
        <v>20020</v>
      </c>
      <c r="C26" s="1" t="s">
        <v>5</v>
      </c>
      <c r="D26" s="8">
        <v>0</v>
      </c>
      <c r="E26" s="1" t="s">
        <v>6</v>
      </c>
      <c r="F26" s="8">
        <v>24</v>
      </c>
    </row>
    <row r="27" spans="1:6" x14ac:dyDescent="0.35">
      <c r="A27" s="4" t="s">
        <v>131</v>
      </c>
      <c r="B27" s="8">
        <v>20022</v>
      </c>
      <c r="C27" s="1" t="s">
        <v>5</v>
      </c>
      <c r="D27" s="8">
        <v>0</v>
      </c>
      <c r="E27" s="1" t="s">
        <v>6</v>
      </c>
      <c r="F27" s="8">
        <v>24</v>
      </c>
    </row>
    <row r="28" spans="1:6" x14ac:dyDescent="0.35">
      <c r="A28" s="4" t="s">
        <v>132</v>
      </c>
      <c r="B28" s="8">
        <v>20024</v>
      </c>
      <c r="C28" s="1" t="s">
        <v>5</v>
      </c>
      <c r="D28" s="8">
        <v>0</v>
      </c>
      <c r="E28" s="1" t="s">
        <v>6</v>
      </c>
      <c r="F28" s="8">
        <v>24</v>
      </c>
    </row>
    <row r="29" spans="1:6" x14ac:dyDescent="0.35">
      <c r="A29" s="4" t="s">
        <v>133</v>
      </c>
      <c r="B29" s="8">
        <v>20026</v>
      </c>
      <c r="C29" s="1" t="s">
        <v>5</v>
      </c>
      <c r="D29" s="8">
        <v>0</v>
      </c>
      <c r="E29" s="1" t="s">
        <v>6</v>
      </c>
      <c r="F29" s="8">
        <v>24</v>
      </c>
    </row>
    <row r="30" spans="1:6" x14ac:dyDescent="0.35">
      <c r="A30" s="4" t="s">
        <v>134</v>
      </c>
      <c r="B30" s="8">
        <v>20028</v>
      </c>
      <c r="C30" s="1" t="s">
        <v>5</v>
      </c>
      <c r="D30" s="8">
        <v>0</v>
      </c>
      <c r="E30" s="1" t="s">
        <v>6</v>
      </c>
      <c r="F30" s="8">
        <v>24</v>
      </c>
    </row>
    <row r="31" spans="1:6" x14ac:dyDescent="0.35">
      <c r="A31" s="4" t="s">
        <v>135</v>
      </c>
      <c r="B31" s="8">
        <v>20030</v>
      </c>
      <c r="C31" s="1" t="s">
        <v>5</v>
      </c>
      <c r="D31" s="8">
        <v>0</v>
      </c>
      <c r="E31" s="1" t="s">
        <v>6</v>
      </c>
      <c r="F31" s="8">
        <v>24</v>
      </c>
    </row>
    <row r="32" spans="1:6" x14ac:dyDescent="0.35">
      <c r="A32" s="4" t="s">
        <v>136</v>
      </c>
      <c r="B32" s="8">
        <v>20032</v>
      </c>
      <c r="C32" s="1" t="s">
        <v>5</v>
      </c>
      <c r="D32" s="8">
        <v>0</v>
      </c>
      <c r="E32" s="1" t="s">
        <v>6</v>
      </c>
      <c r="F32" s="8">
        <v>24</v>
      </c>
    </row>
    <row r="33" spans="1:6" x14ac:dyDescent="0.35">
      <c r="A33" s="4" t="s">
        <v>137</v>
      </c>
      <c r="B33" s="8">
        <v>20034</v>
      </c>
      <c r="C33" s="1" t="s">
        <v>5</v>
      </c>
      <c r="D33" s="8">
        <v>0</v>
      </c>
      <c r="E33" s="1" t="s">
        <v>6</v>
      </c>
      <c r="F33" s="8">
        <v>24</v>
      </c>
    </row>
    <row r="34" spans="1:6" x14ac:dyDescent="0.35">
      <c r="A34" s="4" t="s">
        <v>138</v>
      </c>
      <c r="B34" s="8">
        <v>20036</v>
      </c>
      <c r="C34" s="1" t="s">
        <v>5</v>
      </c>
      <c r="D34" s="8">
        <v>0</v>
      </c>
      <c r="E34" s="1" t="s">
        <v>6</v>
      </c>
      <c r="F34" s="8">
        <v>24</v>
      </c>
    </row>
    <row r="35" spans="1:6" x14ac:dyDescent="0.35">
      <c r="A35" s="4" t="s">
        <v>139</v>
      </c>
      <c r="B35" s="8">
        <v>20038</v>
      </c>
      <c r="C35" s="1" t="s">
        <v>5</v>
      </c>
      <c r="D35" s="8">
        <v>0</v>
      </c>
      <c r="E35" s="1" t="s">
        <v>6</v>
      </c>
      <c r="F35" s="8">
        <v>24</v>
      </c>
    </row>
    <row r="36" spans="1:6" x14ac:dyDescent="0.35">
      <c r="A36" s="4" t="s">
        <v>140</v>
      </c>
      <c r="B36" s="8">
        <v>20040</v>
      </c>
      <c r="C36" s="1" t="s">
        <v>5</v>
      </c>
      <c r="D36" s="8">
        <v>0</v>
      </c>
      <c r="E36" s="1" t="s">
        <v>6</v>
      </c>
      <c r="F36" s="8">
        <v>24</v>
      </c>
    </row>
    <row r="37" spans="1:6" x14ac:dyDescent="0.35">
      <c r="A37" s="4" t="s">
        <v>141</v>
      </c>
      <c r="B37" s="8">
        <v>20042</v>
      </c>
      <c r="C37" s="1" t="s">
        <v>5</v>
      </c>
      <c r="D37" s="8">
        <v>0</v>
      </c>
      <c r="E37" s="1" t="s">
        <v>6</v>
      </c>
      <c r="F37" s="8">
        <v>24</v>
      </c>
    </row>
    <row r="38" spans="1:6" x14ac:dyDescent="0.35">
      <c r="A38" s="4" t="s">
        <v>142</v>
      </c>
      <c r="B38" s="8">
        <v>20044</v>
      </c>
      <c r="C38" s="1" t="s">
        <v>5</v>
      </c>
      <c r="D38" s="8">
        <v>0</v>
      </c>
      <c r="E38" s="1" t="s">
        <v>6</v>
      </c>
      <c r="F38" s="8">
        <v>24</v>
      </c>
    </row>
    <row r="39" spans="1:6" x14ac:dyDescent="0.35">
      <c r="A39" s="4" t="s">
        <v>143</v>
      </c>
      <c r="B39" s="8">
        <v>20046</v>
      </c>
      <c r="C39" s="1" t="s">
        <v>5</v>
      </c>
      <c r="D39" s="8">
        <v>0</v>
      </c>
      <c r="E39" s="1" t="s">
        <v>6</v>
      </c>
      <c r="F39" s="8">
        <v>24</v>
      </c>
    </row>
    <row r="40" spans="1:6" x14ac:dyDescent="0.35">
      <c r="A40" s="4" t="s">
        <v>144</v>
      </c>
      <c r="B40" s="8">
        <v>20048</v>
      </c>
      <c r="C40" s="1" t="s">
        <v>5</v>
      </c>
      <c r="D40" s="8">
        <v>0</v>
      </c>
      <c r="E40" s="1" t="s">
        <v>6</v>
      </c>
      <c r="F40" s="8">
        <v>24</v>
      </c>
    </row>
    <row r="41" spans="1:6" x14ac:dyDescent="0.35">
      <c r="A41" s="4" t="s">
        <v>145</v>
      </c>
      <c r="B41" s="8">
        <v>20050</v>
      </c>
      <c r="C41" s="1" t="s">
        <v>5</v>
      </c>
      <c r="D41" s="8">
        <v>0</v>
      </c>
      <c r="E41" s="1" t="s">
        <v>6</v>
      </c>
      <c r="F41" s="8">
        <v>24</v>
      </c>
    </row>
    <row r="42" spans="1:6" x14ac:dyDescent="0.35">
      <c r="A42" s="4" t="s">
        <v>146</v>
      </c>
      <c r="B42" s="8">
        <v>20052</v>
      </c>
      <c r="C42" s="1" t="s">
        <v>5</v>
      </c>
      <c r="D42" s="8">
        <v>0</v>
      </c>
      <c r="E42" s="1" t="s">
        <v>6</v>
      </c>
      <c r="F42" s="8">
        <v>24</v>
      </c>
    </row>
    <row r="43" spans="1:6" x14ac:dyDescent="0.35">
      <c r="A43" s="4" t="s">
        <v>147</v>
      </c>
      <c r="B43" s="8">
        <v>20054</v>
      </c>
      <c r="C43" s="1" t="s">
        <v>5</v>
      </c>
      <c r="D43" s="8">
        <v>0</v>
      </c>
      <c r="E43" s="1" t="s">
        <v>6</v>
      </c>
      <c r="F43" s="8">
        <v>24</v>
      </c>
    </row>
    <row r="44" spans="1:6" x14ac:dyDescent="0.35">
      <c r="A44" s="4" t="s">
        <v>148</v>
      </c>
      <c r="B44" s="8">
        <v>20058</v>
      </c>
      <c r="C44" s="1" t="s">
        <v>5</v>
      </c>
      <c r="D44" s="8">
        <v>0</v>
      </c>
      <c r="E44" s="1" t="s">
        <v>6</v>
      </c>
      <c r="F44" s="8">
        <v>24</v>
      </c>
    </row>
    <row r="45" spans="1:6" x14ac:dyDescent="0.35">
      <c r="A45" s="4" t="s">
        <v>149</v>
      </c>
      <c r="B45" s="8">
        <v>20060</v>
      </c>
      <c r="C45" s="1" t="s">
        <v>5</v>
      </c>
      <c r="D45" s="8">
        <v>0</v>
      </c>
      <c r="E45" s="1" t="s">
        <v>6</v>
      </c>
      <c r="F45" s="8">
        <v>24</v>
      </c>
    </row>
    <row r="46" spans="1:6" x14ac:dyDescent="0.35">
      <c r="A46" s="4" t="s">
        <v>111</v>
      </c>
      <c r="B46" s="8">
        <v>21000</v>
      </c>
      <c r="C46" s="1" t="s">
        <v>5</v>
      </c>
      <c r="D46" s="8">
        <v>0</v>
      </c>
      <c r="E46" s="1" t="s">
        <v>6</v>
      </c>
      <c r="F46" s="8">
        <v>24</v>
      </c>
    </row>
    <row r="47" spans="1:6" x14ac:dyDescent="0.35">
      <c r="A47" s="4" t="s">
        <v>112</v>
      </c>
      <c r="B47" s="8">
        <v>21002</v>
      </c>
      <c r="C47" s="1" t="s">
        <v>5</v>
      </c>
      <c r="D47" s="8">
        <v>0</v>
      </c>
      <c r="E47" s="1" t="s">
        <v>6</v>
      </c>
      <c r="F47" s="8">
        <v>24</v>
      </c>
    </row>
    <row r="48" spans="1:6" x14ac:dyDescent="0.35">
      <c r="A48" s="4" t="s">
        <v>113</v>
      </c>
      <c r="B48" s="8">
        <v>21004</v>
      </c>
      <c r="C48" s="1" t="s">
        <v>5</v>
      </c>
      <c r="D48" s="8">
        <v>0</v>
      </c>
      <c r="E48" s="1" t="s">
        <v>6</v>
      </c>
      <c r="F48" s="8">
        <v>24</v>
      </c>
    </row>
    <row r="49" spans="1:6" x14ac:dyDescent="0.35">
      <c r="A49" s="4" t="s">
        <v>114</v>
      </c>
      <c r="B49" s="8">
        <v>21006</v>
      </c>
      <c r="C49" s="1" t="s">
        <v>5</v>
      </c>
      <c r="D49" s="8">
        <v>0</v>
      </c>
      <c r="E49" s="1" t="s">
        <v>6</v>
      </c>
      <c r="F49" s="8">
        <v>24</v>
      </c>
    </row>
    <row r="50" spans="1:6" x14ac:dyDescent="0.35">
      <c r="A50" s="4" t="s">
        <v>115</v>
      </c>
      <c r="B50" s="8">
        <v>21008</v>
      </c>
      <c r="C50" s="1" t="s">
        <v>5</v>
      </c>
      <c r="D50" s="8">
        <v>0</v>
      </c>
      <c r="E50" s="1" t="s">
        <v>6</v>
      </c>
      <c r="F50" s="8">
        <v>24</v>
      </c>
    </row>
    <row r="51" spans="1:6" x14ac:dyDescent="0.35">
      <c r="A51" s="4" t="s">
        <v>116</v>
      </c>
      <c r="B51" s="8">
        <v>21010</v>
      </c>
      <c r="C51" s="1" t="s">
        <v>5</v>
      </c>
      <c r="D51" s="8">
        <v>0</v>
      </c>
      <c r="E51" s="1" t="s">
        <v>6</v>
      </c>
      <c r="F51" s="8">
        <v>24</v>
      </c>
    </row>
    <row r="52" spans="1:6" x14ac:dyDescent="0.35">
      <c r="A52" s="4" t="s">
        <v>117</v>
      </c>
      <c r="B52" s="8">
        <v>21012</v>
      </c>
      <c r="C52" s="1" t="s">
        <v>5</v>
      </c>
      <c r="D52" s="8">
        <v>0</v>
      </c>
      <c r="E52" s="1" t="s">
        <v>6</v>
      </c>
      <c r="F52" s="8">
        <v>24</v>
      </c>
    </row>
    <row r="53" spans="1:6" x14ac:dyDescent="0.35">
      <c r="A53" s="4" t="s">
        <v>118</v>
      </c>
      <c r="B53" s="8">
        <v>21014</v>
      </c>
      <c r="C53" s="1" t="s">
        <v>5</v>
      </c>
      <c r="D53" s="8">
        <v>0</v>
      </c>
      <c r="E53" s="1" t="s">
        <v>6</v>
      </c>
      <c r="F53" s="8">
        <v>24</v>
      </c>
    </row>
    <row r="54" spans="1:6" x14ac:dyDescent="0.35">
      <c r="A54" s="5" t="s">
        <v>119</v>
      </c>
      <c r="B54" s="8">
        <v>21016</v>
      </c>
      <c r="C54" s="6" t="s">
        <v>5</v>
      </c>
      <c r="D54" s="9">
        <v>0</v>
      </c>
      <c r="E54" s="6" t="s">
        <v>6</v>
      </c>
      <c r="F54" s="9">
        <v>24</v>
      </c>
    </row>
  </sheetData>
  <mergeCells count="1">
    <mergeCell ref="B6:P8"/>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O22"/>
  <sheetViews>
    <sheetView topLeftCell="A4" zoomScaleNormal="100" workbookViewId="0">
      <selection activeCell="G11" sqref="G11"/>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8.5" style="2"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15" ht="21" x14ac:dyDescent="0.5">
      <c r="A1" s="38" t="s">
        <v>84</v>
      </c>
      <c r="B1" s="37" t="s">
        <v>166</v>
      </c>
    </row>
    <row r="2" spans="1:15" ht="18.5" x14ac:dyDescent="0.45">
      <c r="B2" s="36" t="s">
        <v>165</v>
      </c>
    </row>
    <row r="5" spans="1:15" ht="14.5" x14ac:dyDescent="0.35">
      <c r="B5" s="1" t="s">
        <v>150</v>
      </c>
    </row>
    <row r="6" spans="1:15" ht="14.5" x14ac:dyDescent="0.35">
      <c r="A6" s="3" t="s">
        <v>52</v>
      </c>
      <c r="B6" s="44" t="s">
        <v>182</v>
      </c>
      <c r="C6" s="44"/>
      <c r="D6" s="44"/>
      <c r="E6" s="44"/>
      <c r="F6" s="44"/>
      <c r="G6" s="44"/>
      <c r="H6" s="44"/>
      <c r="I6" s="44"/>
      <c r="J6" s="44"/>
      <c r="K6" s="44"/>
      <c r="L6" s="44"/>
      <c r="M6" s="44"/>
    </row>
    <row r="7" spans="1:15" ht="14.5" x14ac:dyDescent="0.35">
      <c r="A7" s="3" t="s">
        <v>152</v>
      </c>
      <c r="B7" s="45" t="s">
        <v>183</v>
      </c>
      <c r="C7" s="45"/>
      <c r="D7" s="45"/>
      <c r="E7" s="45"/>
      <c r="F7" s="45"/>
      <c r="G7" s="45"/>
      <c r="H7" s="45"/>
      <c r="I7" s="45"/>
      <c r="J7" s="45"/>
      <c r="K7" s="45"/>
      <c r="L7" s="45"/>
      <c r="M7" s="45"/>
      <c r="N7" s="45"/>
      <c r="O7" s="45"/>
    </row>
    <row r="10" spans="1:15" ht="23.5" x14ac:dyDescent="0.55000000000000004">
      <c r="A10" s="14" t="s">
        <v>161</v>
      </c>
      <c r="G10" s="42" t="s">
        <v>184</v>
      </c>
    </row>
    <row r="11" spans="1:15" ht="14.5" x14ac:dyDescent="0.35">
      <c r="A11" s="29" t="s">
        <v>85</v>
      </c>
      <c r="B11" s="13" t="s">
        <v>86</v>
      </c>
      <c r="C11" s="13" t="s">
        <v>87</v>
      </c>
      <c r="G11" s="2" t="s">
        <v>181</v>
      </c>
    </row>
    <row r="12" spans="1:15" ht="14.5" x14ac:dyDescent="0.35">
      <c r="A12" s="29">
        <v>44927</v>
      </c>
      <c r="B12" s="13" t="s">
        <v>58</v>
      </c>
      <c r="C12" s="13">
        <v>200</v>
      </c>
      <c r="G12" s="2">
        <f t="shared" ref="G12:G21" si="0">IF(ISNUMBER(C12),C12,20)</f>
        <v>200</v>
      </c>
    </row>
    <row r="13" spans="1:15" ht="14.5" x14ac:dyDescent="0.35">
      <c r="A13" s="29">
        <v>44928</v>
      </c>
      <c r="B13" s="13" t="s">
        <v>59</v>
      </c>
      <c r="C13" s="13" t="e">
        <v>#N/A</v>
      </c>
      <c r="G13" s="2">
        <f t="shared" si="0"/>
        <v>20</v>
      </c>
    </row>
    <row r="14" spans="1:15" ht="14.5" x14ac:dyDescent="0.35">
      <c r="A14" s="29">
        <v>44929</v>
      </c>
      <c r="B14" s="13" t="s">
        <v>60</v>
      </c>
      <c r="C14" s="13">
        <v>50</v>
      </c>
      <c r="G14" s="2">
        <f t="shared" si="0"/>
        <v>50</v>
      </c>
    </row>
    <row r="15" spans="1:15" ht="14.5" x14ac:dyDescent="0.35">
      <c r="A15" s="29">
        <v>44930</v>
      </c>
      <c r="B15" s="13" t="s">
        <v>61</v>
      </c>
      <c r="C15" s="13" t="e">
        <v>#N/A</v>
      </c>
      <c r="G15" s="2">
        <f t="shared" si="0"/>
        <v>20</v>
      </c>
    </row>
    <row r="16" spans="1:15" ht="14.5" x14ac:dyDescent="0.35">
      <c r="A16" s="29">
        <v>44931</v>
      </c>
      <c r="B16" s="13" t="s">
        <v>62</v>
      </c>
      <c r="C16" s="13">
        <v>10</v>
      </c>
      <c r="G16" s="2">
        <f t="shared" si="0"/>
        <v>10</v>
      </c>
    </row>
    <row r="17" spans="1:7" ht="14.5" x14ac:dyDescent="0.35">
      <c r="A17" s="29">
        <v>44932</v>
      </c>
      <c r="B17" s="13" t="s">
        <v>153</v>
      </c>
      <c r="C17" s="13">
        <v>150</v>
      </c>
      <c r="G17" s="2">
        <f t="shared" si="0"/>
        <v>150</v>
      </c>
    </row>
    <row r="18" spans="1:7" ht="14.5" x14ac:dyDescent="0.35">
      <c r="A18" s="29">
        <v>44933</v>
      </c>
      <c r="B18" s="13" t="s">
        <v>154</v>
      </c>
      <c r="C18" s="13">
        <v>80</v>
      </c>
      <c r="G18" s="2">
        <f t="shared" si="0"/>
        <v>80</v>
      </c>
    </row>
    <row r="19" spans="1:7" ht="14.5" x14ac:dyDescent="0.35">
      <c r="A19" s="29">
        <v>44934</v>
      </c>
      <c r="B19" s="13" t="s">
        <v>155</v>
      </c>
      <c r="C19" s="13" t="e">
        <v>#N/A</v>
      </c>
      <c r="G19" s="2">
        <f t="shared" si="0"/>
        <v>20</v>
      </c>
    </row>
    <row r="20" spans="1:7" ht="14.5" x14ac:dyDescent="0.35">
      <c r="A20" s="29">
        <v>44935</v>
      </c>
      <c r="B20" s="13" t="s">
        <v>156</v>
      </c>
      <c r="C20" s="13">
        <v>30</v>
      </c>
      <c r="G20" s="2">
        <f t="shared" si="0"/>
        <v>30</v>
      </c>
    </row>
    <row r="21" spans="1:7" ht="14.5" x14ac:dyDescent="0.35">
      <c r="A21" s="29">
        <v>44936</v>
      </c>
      <c r="B21" s="13" t="s">
        <v>157</v>
      </c>
      <c r="C21" s="13" t="e">
        <v>#N/A</v>
      </c>
      <c r="G21" s="2">
        <f t="shared" si="0"/>
        <v>20</v>
      </c>
    </row>
    <row r="22" spans="1:7" ht="14.5" x14ac:dyDescent="0.35">
      <c r="B22" s="13" t="s">
        <v>158</v>
      </c>
      <c r="C22" s="21">
        <f t="array" ref="C22">SUM(IF(ISNA(C12:C21),20,C12:C21))</f>
        <v>600</v>
      </c>
      <c r="G22" s="2">
        <f>SUM(G12:G21)</f>
        <v>600</v>
      </c>
    </row>
  </sheetData>
  <mergeCells count="2">
    <mergeCell ref="B6:M6"/>
    <mergeCell ref="B7:O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O35"/>
  <sheetViews>
    <sheetView tabSelected="1" zoomScaleNormal="100" workbookViewId="0">
      <selection activeCell="C6" sqref="C6"/>
    </sheetView>
  </sheetViews>
  <sheetFormatPr defaultColWidth="11" defaultRowHeight="13" x14ac:dyDescent="0.3"/>
  <cols>
    <col min="1" max="1" width="28.19921875" style="2" bestFit="1" customWidth="1"/>
    <col min="2" max="16384" width="11" style="2"/>
  </cols>
  <sheetData>
    <row r="1" spans="1:15" ht="21" x14ac:dyDescent="0.5">
      <c r="A1" s="38" t="s">
        <v>97</v>
      </c>
      <c r="B1" s="37" t="s">
        <v>174</v>
      </c>
    </row>
    <row r="3" spans="1:15" ht="14.5" x14ac:dyDescent="0.35">
      <c r="B3" s="1" t="s">
        <v>150</v>
      </c>
    </row>
    <row r="4" spans="1:15" ht="18.5" x14ac:dyDescent="0.45">
      <c r="A4" s="39" t="s">
        <v>52</v>
      </c>
      <c r="B4" s="1"/>
      <c r="C4" s="46" t="s">
        <v>186</v>
      </c>
      <c r="D4" s="46"/>
      <c r="E4" s="46"/>
      <c r="F4" s="46"/>
      <c r="G4" s="46"/>
      <c r="H4" s="46"/>
      <c r="I4" s="46"/>
      <c r="J4" s="46"/>
      <c r="K4" s="46"/>
      <c r="L4" s="46"/>
      <c r="M4" s="46"/>
      <c r="N4" s="46"/>
      <c r="O4" s="46"/>
    </row>
    <row r="5" spans="1:15" ht="18.5" x14ac:dyDescent="0.45">
      <c r="A5" s="39" t="s">
        <v>152</v>
      </c>
      <c r="B5" s="1"/>
      <c r="C5" s="46" t="s">
        <v>187</v>
      </c>
      <c r="D5" s="46"/>
      <c r="E5" s="46"/>
      <c r="F5" s="46"/>
      <c r="G5" s="46"/>
      <c r="H5" s="46"/>
      <c r="I5" s="46"/>
      <c r="J5" s="46"/>
      <c r="K5" s="46"/>
      <c r="L5" s="46"/>
      <c r="M5" s="46"/>
      <c r="N5" s="46"/>
      <c r="O5" s="46"/>
    </row>
    <row r="6" spans="1:15" ht="14.5" x14ac:dyDescent="0.35">
      <c r="A6" s="3"/>
      <c r="B6" s="1"/>
    </row>
    <row r="8" spans="1:15" ht="23.5" x14ac:dyDescent="0.55000000000000004">
      <c r="A8" s="14" t="s">
        <v>161</v>
      </c>
      <c r="M8" s="14" t="s">
        <v>162</v>
      </c>
    </row>
    <row r="9" spans="1:15" ht="14.5" x14ac:dyDescent="0.35">
      <c r="A9" s="22"/>
      <c r="B9" s="22" t="s">
        <v>88</v>
      </c>
      <c r="C9" s="22" t="s">
        <v>89</v>
      </c>
      <c r="D9" s="22" t="s">
        <v>90</v>
      </c>
      <c r="E9" s="22" t="s">
        <v>91</v>
      </c>
      <c r="F9" s="22" t="s">
        <v>92</v>
      </c>
      <c r="G9" s="22" t="s">
        <v>93</v>
      </c>
      <c r="H9" s="22" t="s">
        <v>94</v>
      </c>
      <c r="I9" s="22" t="s">
        <v>95</v>
      </c>
      <c r="J9" s="22" t="s">
        <v>96</v>
      </c>
      <c r="M9" s="15" t="s">
        <v>43</v>
      </c>
      <c r="N9" s="15" t="s">
        <v>98</v>
      </c>
    </row>
    <row r="10" spans="1:15" ht="14.5" x14ac:dyDescent="0.35">
      <c r="A10" s="22" t="s">
        <v>88</v>
      </c>
      <c r="B10" s="21">
        <v>-1</v>
      </c>
      <c r="C10" s="21">
        <v>95</v>
      </c>
      <c r="D10" s="21">
        <v>-1</v>
      </c>
      <c r="E10" s="21">
        <v>185</v>
      </c>
      <c r="F10" s="21">
        <v>255</v>
      </c>
      <c r="G10" s="21">
        <v>305</v>
      </c>
      <c r="H10" s="21">
        <v>415</v>
      </c>
      <c r="I10" s="21">
        <v>480</v>
      </c>
      <c r="J10" s="21">
        <v>525</v>
      </c>
      <c r="M10" s="8">
        <v>10100</v>
      </c>
      <c r="N10" s="8" t="s">
        <v>88</v>
      </c>
    </row>
    <row r="11" spans="1:15" ht="14.5" x14ac:dyDescent="0.35">
      <c r="A11" s="22" t="s">
        <v>89</v>
      </c>
      <c r="B11" s="21">
        <v>95</v>
      </c>
      <c r="C11" s="21">
        <v>-1</v>
      </c>
      <c r="D11" s="21">
        <v>-1</v>
      </c>
      <c r="E11" s="21">
        <v>90</v>
      </c>
      <c r="F11" s="21">
        <v>160</v>
      </c>
      <c r="G11" s="21">
        <v>210</v>
      </c>
      <c r="H11" s="21">
        <v>325</v>
      </c>
      <c r="I11" s="21">
        <v>390</v>
      </c>
      <c r="J11" s="21">
        <v>430</v>
      </c>
      <c r="M11" s="8">
        <v>10102</v>
      </c>
      <c r="N11" s="8" t="s">
        <v>89</v>
      </c>
    </row>
    <row r="12" spans="1:15" ht="14.5" x14ac:dyDescent="0.35">
      <c r="A12" s="22" t="s">
        <v>90</v>
      </c>
      <c r="B12" s="21">
        <v>-1</v>
      </c>
      <c r="C12" s="21">
        <v>-1</v>
      </c>
      <c r="D12" s="21">
        <v>-1</v>
      </c>
      <c r="E12" s="21">
        <v>60</v>
      </c>
      <c r="F12" s="21">
        <v>130</v>
      </c>
      <c r="G12" s="21">
        <v>180</v>
      </c>
      <c r="H12" s="21">
        <v>295</v>
      </c>
      <c r="I12" s="21">
        <v>355</v>
      </c>
      <c r="J12" s="21">
        <v>400</v>
      </c>
      <c r="M12" s="8">
        <v>10104</v>
      </c>
      <c r="N12" s="8" t="s">
        <v>90</v>
      </c>
    </row>
    <row r="13" spans="1:15" ht="14.5" x14ac:dyDescent="0.35">
      <c r="A13" s="22" t="s">
        <v>91</v>
      </c>
      <c r="B13" s="21">
        <v>185</v>
      </c>
      <c r="C13" s="21">
        <v>90</v>
      </c>
      <c r="D13" s="21">
        <v>60</v>
      </c>
      <c r="E13" s="21">
        <v>-1</v>
      </c>
      <c r="F13" s="21">
        <v>70</v>
      </c>
      <c r="G13" s="21">
        <v>120</v>
      </c>
      <c r="H13" s="21">
        <v>235</v>
      </c>
      <c r="I13" s="21">
        <v>300</v>
      </c>
      <c r="J13" s="21">
        <v>340</v>
      </c>
      <c r="M13" s="8">
        <v>10106</v>
      </c>
      <c r="N13" s="8" t="s">
        <v>91</v>
      </c>
    </row>
    <row r="14" spans="1:15" ht="14.5" x14ac:dyDescent="0.35">
      <c r="A14" s="22" t="s">
        <v>92</v>
      </c>
      <c r="B14" s="21">
        <v>255</v>
      </c>
      <c r="C14" s="21">
        <v>160</v>
      </c>
      <c r="D14" s="21">
        <v>130</v>
      </c>
      <c r="E14" s="21">
        <v>70</v>
      </c>
      <c r="F14" s="21">
        <v>-1</v>
      </c>
      <c r="G14" s="21">
        <v>50</v>
      </c>
      <c r="H14" s="21">
        <v>165</v>
      </c>
      <c r="I14" s="21">
        <v>230</v>
      </c>
      <c r="J14" s="21">
        <v>270</v>
      </c>
      <c r="M14" s="8">
        <v>10108</v>
      </c>
      <c r="N14" s="8" t="s">
        <v>92</v>
      </c>
    </row>
    <row r="15" spans="1:15" ht="14.5" x14ac:dyDescent="0.35">
      <c r="A15" s="22" t="s">
        <v>93</v>
      </c>
      <c r="B15" s="21">
        <v>305</v>
      </c>
      <c r="C15" s="21">
        <v>210</v>
      </c>
      <c r="D15" s="21">
        <v>180</v>
      </c>
      <c r="E15" s="21">
        <v>120</v>
      </c>
      <c r="F15" s="21">
        <v>50</v>
      </c>
      <c r="G15" s="21">
        <v>-1</v>
      </c>
      <c r="H15" s="21">
        <v>115</v>
      </c>
      <c r="I15" s="21">
        <v>180</v>
      </c>
      <c r="J15" s="21">
        <v>220</v>
      </c>
      <c r="M15" s="8">
        <v>10110</v>
      </c>
      <c r="N15" s="8" t="s">
        <v>93</v>
      </c>
    </row>
    <row r="16" spans="1:15" ht="14.5" x14ac:dyDescent="0.35">
      <c r="A16" s="22" t="s">
        <v>94</v>
      </c>
      <c r="B16" s="21">
        <v>415</v>
      </c>
      <c r="C16" s="21">
        <v>325</v>
      </c>
      <c r="D16" s="21">
        <v>295</v>
      </c>
      <c r="E16" s="21">
        <v>235</v>
      </c>
      <c r="F16" s="21">
        <v>165</v>
      </c>
      <c r="G16" s="21">
        <v>115</v>
      </c>
      <c r="H16" s="21">
        <v>-1</v>
      </c>
      <c r="I16" s="21">
        <v>65</v>
      </c>
      <c r="J16" s="21">
        <v>105</v>
      </c>
      <c r="M16" s="8">
        <v>10112</v>
      </c>
      <c r="N16" s="8" t="s">
        <v>94</v>
      </c>
    </row>
    <row r="17" spans="1:14" ht="14.5" x14ac:dyDescent="0.35">
      <c r="A17" s="22" t="s">
        <v>95</v>
      </c>
      <c r="B17" s="21">
        <v>480</v>
      </c>
      <c r="C17" s="21">
        <v>390</v>
      </c>
      <c r="D17" s="21">
        <v>355</v>
      </c>
      <c r="E17" s="21">
        <v>300</v>
      </c>
      <c r="F17" s="21">
        <v>230</v>
      </c>
      <c r="G17" s="21">
        <v>180</v>
      </c>
      <c r="H17" s="21">
        <v>65</v>
      </c>
      <c r="I17" s="21">
        <v>-1</v>
      </c>
      <c r="J17" s="21">
        <v>40</v>
      </c>
      <c r="M17" s="8">
        <v>10114</v>
      </c>
      <c r="N17" s="8" t="s">
        <v>95</v>
      </c>
    </row>
    <row r="18" spans="1:14" ht="14.5" x14ac:dyDescent="0.35">
      <c r="A18" s="22" t="s">
        <v>96</v>
      </c>
      <c r="B18" s="21">
        <v>525</v>
      </c>
      <c r="C18" s="21">
        <v>430</v>
      </c>
      <c r="D18" s="21">
        <v>400</v>
      </c>
      <c r="E18" s="21">
        <v>340</v>
      </c>
      <c r="F18" s="21">
        <v>270</v>
      </c>
      <c r="G18" s="21">
        <v>220</v>
      </c>
      <c r="H18" s="21">
        <v>105</v>
      </c>
      <c r="I18" s="21">
        <v>40</v>
      </c>
      <c r="J18" s="21">
        <v>-1</v>
      </c>
      <c r="M18" s="9">
        <v>10116</v>
      </c>
      <c r="N18" s="9" t="s">
        <v>96</v>
      </c>
    </row>
    <row r="21" spans="1:14" ht="23.5" x14ac:dyDescent="0.55000000000000004">
      <c r="A21" s="14" t="s">
        <v>167</v>
      </c>
    </row>
    <row r="22" spans="1:14" ht="14.5" x14ac:dyDescent="0.35">
      <c r="A22" s="10" t="s">
        <v>99</v>
      </c>
      <c r="B22" s="13" t="s">
        <v>100</v>
      </c>
      <c r="C22" s="12" t="s">
        <v>101</v>
      </c>
    </row>
    <row r="23" spans="1:14" ht="14.5" x14ac:dyDescent="0.35">
      <c r="A23" s="4">
        <v>10100</v>
      </c>
      <c r="B23" s="8">
        <v>10102</v>
      </c>
      <c r="C23" s="40">
        <f>INDEX($B$10:$J$18, MATCH(A23, $M$10:$M$18), MATCH(B23, $M$10:$M$18))</f>
        <v>95</v>
      </c>
    </row>
    <row r="24" spans="1:14" ht="14.5" x14ac:dyDescent="0.35">
      <c r="A24" s="4">
        <v>10100</v>
      </c>
      <c r="B24" s="8">
        <v>10104</v>
      </c>
      <c r="C24" s="40">
        <f t="shared" ref="C24:C35" si="0">INDEX($B$10:$J$18, MATCH(A24, $M$10:$M$18), MATCH(B24, $M$10:$M$18))</f>
        <v>-1</v>
      </c>
    </row>
    <row r="25" spans="1:14" ht="14.5" x14ac:dyDescent="0.35">
      <c r="A25" s="4">
        <v>10108</v>
      </c>
      <c r="B25" s="8">
        <v>10102</v>
      </c>
      <c r="C25" s="40">
        <f t="shared" si="0"/>
        <v>160</v>
      </c>
    </row>
    <row r="26" spans="1:14" ht="14.5" x14ac:dyDescent="0.35">
      <c r="A26" s="4">
        <v>10100</v>
      </c>
      <c r="B26" s="8">
        <v>10106</v>
      </c>
      <c r="C26" s="40">
        <f t="shared" si="0"/>
        <v>185</v>
      </c>
    </row>
    <row r="27" spans="1:14" ht="14.5" x14ac:dyDescent="0.35">
      <c r="A27" s="4">
        <v>10108</v>
      </c>
      <c r="B27" s="8">
        <v>10110</v>
      </c>
      <c r="C27" s="40">
        <f t="shared" si="0"/>
        <v>50</v>
      </c>
    </row>
    <row r="28" spans="1:14" ht="14.5" x14ac:dyDescent="0.35">
      <c r="A28" s="4">
        <v>10102</v>
      </c>
      <c r="B28" s="8">
        <v>10104</v>
      </c>
      <c r="C28" s="40">
        <f t="shared" si="0"/>
        <v>-1</v>
      </c>
    </row>
    <row r="29" spans="1:14" ht="14.5" x14ac:dyDescent="0.35">
      <c r="A29" s="4">
        <v>10106</v>
      </c>
      <c r="B29" s="8">
        <v>10108</v>
      </c>
      <c r="C29" s="40">
        <f t="shared" si="0"/>
        <v>70</v>
      </c>
    </row>
    <row r="30" spans="1:14" ht="14.5" x14ac:dyDescent="0.35">
      <c r="A30" s="4">
        <v>10102</v>
      </c>
      <c r="B30" s="8">
        <v>10106</v>
      </c>
      <c r="C30" s="40">
        <f t="shared" si="0"/>
        <v>90</v>
      </c>
    </row>
    <row r="31" spans="1:14" ht="14.5" x14ac:dyDescent="0.35">
      <c r="A31" s="4">
        <v>10110</v>
      </c>
      <c r="B31" s="8">
        <v>10114</v>
      </c>
      <c r="C31" s="40">
        <f t="shared" si="0"/>
        <v>180</v>
      </c>
    </row>
    <row r="32" spans="1:14" ht="14.5" x14ac:dyDescent="0.35">
      <c r="A32" s="4">
        <v>10104</v>
      </c>
      <c r="B32" s="8">
        <v>10106</v>
      </c>
      <c r="C32" s="40">
        <f t="shared" si="0"/>
        <v>60</v>
      </c>
    </row>
    <row r="33" spans="1:3" ht="14.5" x14ac:dyDescent="0.35">
      <c r="A33" s="4">
        <v>10110</v>
      </c>
      <c r="B33" s="8">
        <v>10112</v>
      </c>
      <c r="C33" s="40">
        <f t="shared" si="0"/>
        <v>115</v>
      </c>
    </row>
    <row r="34" spans="1:3" ht="14.5" x14ac:dyDescent="0.35">
      <c r="A34" s="4">
        <v>10100</v>
      </c>
      <c r="B34" s="8">
        <v>10114</v>
      </c>
      <c r="C34" s="40">
        <f t="shared" si="0"/>
        <v>480</v>
      </c>
    </row>
    <row r="35" spans="1:3" ht="14.5" x14ac:dyDescent="0.35">
      <c r="A35" s="5">
        <v>10112</v>
      </c>
      <c r="B35" s="9">
        <v>10116</v>
      </c>
      <c r="C35" s="40">
        <f t="shared" si="0"/>
        <v>105</v>
      </c>
    </row>
  </sheetData>
  <mergeCells count="2">
    <mergeCell ref="C4:O4"/>
    <mergeCell ref="C5:O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Vedant</cp:lastModifiedBy>
  <dcterms:created xsi:type="dcterms:W3CDTF">2015-02-10T17:33:11Z</dcterms:created>
  <dcterms:modified xsi:type="dcterms:W3CDTF">2023-12-10T05:22:34Z</dcterms:modified>
</cp:coreProperties>
</file>